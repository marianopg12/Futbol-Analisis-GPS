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Futbol\Temporada 2025\Entrenamiento\"/>
    </mc:Choice>
  </mc:AlternateContent>
  <bookViews>
    <workbookView xWindow="0" yWindow="0" windowWidth="20490" windowHeight="7755"/>
  </bookViews>
  <sheets>
    <sheet name="Septiembre - 2025" sheetId="5" r:id="rId1"/>
    <sheet name="Registro ejercicios" sheetId="7" r:id="rId2"/>
    <sheet name="Calculadora" sheetId="8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8" l="1"/>
  <c r="K7" i="8" s="1"/>
  <c r="I15" i="8"/>
  <c r="K10" i="8" l="1"/>
  <c r="O13" i="8"/>
  <c r="O16" i="8"/>
  <c r="K13" i="8"/>
  <c r="O7" i="8"/>
  <c r="K16" i="8"/>
  <c r="O10" i="8"/>
  <c r="G7" i="7"/>
  <c r="N7" i="7" s="1"/>
  <c r="J7" i="7"/>
  <c r="L7" i="7"/>
  <c r="M7" i="7"/>
  <c r="P7" i="7"/>
  <c r="Q7" i="7"/>
  <c r="G8" i="7"/>
  <c r="J8" i="7"/>
  <c r="G9" i="7"/>
  <c r="N9" i="7" s="1"/>
  <c r="J9" i="7"/>
  <c r="L9" i="7"/>
  <c r="M9" i="7"/>
  <c r="P9" i="7"/>
  <c r="Q9" i="7"/>
  <c r="G10" i="7"/>
  <c r="J10" i="7"/>
  <c r="N10" i="7" s="1"/>
  <c r="G11" i="7"/>
  <c r="J11" i="7"/>
  <c r="M11" i="7" s="1"/>
  <c r="L11" i="7"/>
  <c r="Q11" i="7"/>
  <c r="G12" i="7"/>
  <c r="J12" i="7"/>
  <c r="G13" i="7"/>
  <c r="J13" i="7"/>
  <c r="P13" i="7" s="1"/>
  <c r="L13" i="7"/>
  <c r="Q13" i="7"/>
  <c r="G14" i="7"/>
  <c r="L14" i="7" s="1"/>
  <c r="J14" i="7"/>
  <c r="G15" i="7"/>
  <c r="J15" i="7"/>
  <c r="Q15" i="7"/>
  <c r="G16" i="7"/>
  <c r="J16" i="7"/>
  <c r="G17" i="7"/>
  <c r="M17" i="7" s="1"/>
  <c r="J17" i="7"/>
  <c r="P17" i="7" s="1"/>
  <c r="Q17" i="7"/>
  <c r="G18" i="7"/>
  <c r="L18" i="7" s="1"/>
  <c r="J18" i="7"/>
  <c r="K18" i="7" s="1"/>
  <c r="N18" i="7"/>
  <c r="O18" i="7"/>
  <c r="R18" i="7"/>
  <c r="G19" i="7"/>
  <c r="M19" i="7" s="1"/>
  <c r="J19" i="7"/>
  <c r="P19" i="7" s="1"/>
  <c r="L19" i="7"/>
  <c r="Q19" i="7"/>
  <c r="G20" i="7"/>
  <c r="L20" i="7" s="1"/>
  <c r="J20" i="7"/>
  <c r="G21" i="7"/>
  <c r="J21" i="7"/>
  <c r="P21" i="7" s="1"/>
  <c r="L21" i="7"/>
  <c r="M21" i="7"/>
  <c r="Q21" i="7"/>
  <c r="G22" i="7"/>
  <c r="J22" i="7"/>
  <c r="K22" i="7" s="1"/>
  <c r="G23" i="7"/>
  <c r="Q23" i="7" s="1"/>
  <c r="J23" i="7"/>
  <c r="P23" i="7"/>
  <c r="G24" i="7"/>
  <c r="J24" i="7"/>
  <c r="K24" i="7" s="1"/>
  <c r="N24" i="7"/>
  <c r="G25" i="7"/>
  <c r="L25" i="7" s="1"/>
  <c r="J25" i="7"/>
  <c r="P25" i="7" s="1"/>
  <c r="Q25" i="7"/>
  <c r="G26" i="7"/>
  <c r="J26" i="7"/>
  <c r="K26" i="7" s="1"/>
  <c r="N26" i="7"/>
  <c r="O26" i="7"/>
  <c r="G27" i="7"/>
  <c r="M27" i="7" s="1"/>
  <c r="J27" i="7"/>
  <c r="P27" i="7" s="1"/>
  <c r="L27" i="7"/>
  <c r="Q27" i="7"/>
  <c r="G28" i="7"/>
  <c r="L28" i="7" s="1"/>
  <c r="J28" i="7"/>
  <c r="R28" i="7"/>
  <c r="G29" i="7"/>
  <c r="J29" i="7"/>
  <c r="P29" i="7" s="1"/>
  <c r="L29" i="7"/>
  <c r="M29" i="7"/>
  <c r="Q29" i="7"/>
  <c r="G30" i="7"/>
  <c r="J30" i="7"/>
  <c r="K30" i="7" s="1"/>
  <c r="G31" i="7"/>
  <c r="Q31" i="7" s="1"/>
  <c r="J31" i="7"/>
  <c r="G32" i="7"/>
  <c r="J32" i="7"/>
  <c r="K32" i="7" s="1"/>
  <c r="N32" i="7"/>
  <c r="G33" i="7"/>
  <c r="L33" i="7" s="1"/>
  <c r="J33" i="7"/>
  <c r="Q33" i="7"/>
  <c r="G34" i="7"/>
  <c r="J34" i="7"/>
  <c r="K34" i="7" s="1"/>
  <c r="N34" i="7"/>
  <c r="O34" i="7"/>
  <c r="G35" i="7"/>
  <c r="M35" i="7" s="1"/>
  <c r="J35" i="7"/>
  <c r="P35" i="7" s="1"/>
  <c r="L35" i="7"/>
  <c r="Q35" i="7"/>
  <c r="G36" i="7"/>
  <c r="L36" i="7" s="1"/>
  <c r="J36" i="7"/>
  <c r="R36" i="7"/>
  <c r="G37" i="7"/>
  <c r="J37" i="7"/>
  <c r="P37" i="7" s="1"/>
  <c r="L37" i="7"/>
  <c r="M37" i="7"/>
  <c r="Q37" i="7"/>
  <c r="G38" i="7"/>
  <c r="J38" i="7"/>
  <c r="K38" i="7" s="1"/>
  <c r="R38" i="7"/>
  <c r="G39" i="7"/>
  <c r="J39" i="7"/>
  <c r="G40" i="7"/>
  <c r="J40" i="7"/>
  <c r="G41" i="7"/>
  <c r="J41" i="7"/>
  <c r="G42" i="7"/>
  <c r="J42" i="7"/>
  <c r="G43" i="7"/>
  <c r="J43" i="7"/>
  <c r="G44" i="7"/>
  <c r="J44" i="7"/>
  <c r="G45" i="7"/>
  <c r="J45" i="7"/>
  <c r="G46" i="7"/>
  <c r="J46" i="7"/>
  <c r="G47" i="7"/>
  <c r="J47" i="7"/>
  <c r="G48" i="7"/>
  <c r="J48" i="7"/>
  <c r="G49" i="7"/>
  <c r="J49" i="7"/>
  <c r="G50" i="7"/>
  <c r="L50" i="7" s="1"/>
  <c r="J50" i="7"/>
  <c r="M50" i="7" s="1"/>
  <c r="O50" i="7"/>
  <c r="O46" i="7" l="1"/>
  <c r="L38" i="7"/>
  <c r="L30" i="7"/>
  <c r="O28" i="7"/>
  <c r="L22" i="7"/>
  <c r="N15" i="7"/>
  <c r="N38" i="7"/>
  <c r="N36" i="7"/>
  <c r="M33" i="7"/>
  <c r="R32" i="7"/>
  <c r="L32" i="7"/>
  <c r="L31" i="7"/>
  <c r="O30" i="7"/>
  <c r="N28" i="7"/>
  <c r="M25" i="7"/>
  <c r="R24" i="7"/>
  <c r="L24" i="7"/>
  <c r="L23" i="7"/>
  <c r="O22" i="7"/>
  <c r="N20" i="7"/>
  <c r="M15" i="7"/>
  <c r="R14" i="7"/>
  <c r="N13" i="7"/>
  <c r="P11" i="7"/>
  <c r="N11" i="7"/>
  <c r="P31" i="7"/>
  <c r="R20" i="7"/>
  <c r="N50" i="7"/>
  <c r="O44" i="7"/>
  <c r="O40" i="7"/>
  <c r="O38" i="7"/>
  <c r="O36" i="7"/>
  <c r="P33" i="7"/>
  <c r="M31" i="7"/>
  <c r="R30" i="7"/>
  <c r="M23" i="7"/>
  <c r="R22" i="7"/>
  <c r="O20" i="7"/>
  <c r="N17" i="7"/>
  <c r="P15" i="7"/>
  <c r="L10" i="7"/>
  <c r="Q50" i="7"/>
  <c r="P50" i="7"/>
  <c r="K50" i="7"/>
  <c r="N49" i="7"/>
  <c r="K47" i="7"/>
  <c r="K45" i="7"/>
  <c r="K43" i="7"/>
  <c r="K41" i="7"/>
  <c r="K39" i="7"/>
  <c r="M38" i="7"/>
  <c r="K36" i="7"/>
  <c r="R34" i="7"/>
  <c r="L34" i="7"/>
  <c r="O32" i="7"/>
  <c r="N30" i="7"/>
  <c r="K28" i="7"/>
  <c r="R26" i="7"/>
  <c r="L26" i="7"/>
  <c r="O24" i="7"/>
  <c r="N22" i="7"/>
  <c r="K20" i="7"/>
  <c r="L17" i="7"/>
  <c r="L15" i="7"/>
  <c r="N14" i="7"/>
  <c r="M13" i="7"/>
  <c r="R10" i="7"/>
  <c r="R49" i="7"/>
  <c r="L48" i="7"/>
  <c r="P48" i="7"/>
  <c r="M47" i="7"/>
  <c r="N46" i="7"/>
  <c r="M45" i="7"/>
  <c r="N44" i="7"/>
  <c r="L42" i="7"/>
  <c r="P42" i="7"/>
  <c r="M41" i="7"/>
  <c r="N40" i="7"/>
  <c r="M39" i="7"/>
  <c r="L49" i="7"/>
  <c r="M48" i="7"/>
  <c r="L47" i="7"/>
  <c r="R46" i="7"/>
  <c r="Q45" i="7"/>
  <c r="L45" i="7"/>
  <c r="R44" i="7"/>
  <c r="M44" i="7"/>
  <c r="Q43" i="7"/>
  <c r="L43" i="7"/>
  <c r="R42" i="7"/>
  <c r="M42" i="7"/>
  <c r="Q41" i="7"/>
  <c r="L41" i="7"/>
  <c r="R40" i="7"/>
  <c r="M40" i="7"/>
  <c r="Q39" i="7"/>
  <c r="L39" i="7"/>
  <c r="K16" i="7"/>
  <c r="O16" i="7"/>
  <c r="M16" i="7"/>
  <c r="Q16" i="7"/>
  <c r="K12" i="7"/>
  <c r="O12" i="7"/>
  <c r="M12" i="7"/>
  <c r="Q12" i="7"/>
  <c r="K8" i="7"/>
  <c r="O8" i="7"/>
  <c r="M8" i="7"/>
  <c r="Q8" i="7"/>
  <c r="R50" i="7"/>
  <c r="P49" i="7"/>
  <c r="K49" i="7"/>
  <c r="Q48" i="7"/>
  <c r="K48" i="7"/>
  <c r="P47" i="7"/>
  <c r="Q46" i="7"/>
  <c r="K46" i="7"/>
  <c r="P45" i="7"/>
  <c r="Q44" i="7"/>
  <c r="K44" i="7"/>
  <c r="P43" i="7"/>
  <c r="Q42" i="7"/>
  <c r="K42" i="7"/>
  <c r="P41" i="7"/>
  <c r="Q40" i="7"/>
  <c r="K40" i="7"/>
  <c r="P39" i="7"/>
  <c r="Q38" i="7"/>
  <c r="N37" i="7"/>
  <c r="R37" i="7"/>
  <c r="K37" i="7"/>
  <c r="O37" i="7"/>
  <c r="N35" i="7"/>
  <c r="R35" i="7"/>
  <c r="K35" i="7"/>
  <c r="O35" i="7"/>
  <c r="N33" i="7"/>
  <c r="R33" i="7"/>
  <c r="K33" i="7"/>
  <c r="O33" i="7"/>
  <c r="N31" i="7"/>
  <c r="R31" i="7"/>
  <c r="K31" i="7"/>
  <c r="O31" i="7"/>
  <c r="N29" i="7"/>
  <c r="R29" i="7"/>
  <c r="K29" i="7"/>
  <c r="O29" i="7"/>
  <c r="N27" i="7"/>
  <c r="R27" i="7"/>
  <c r="K27" i="7"/>
  <c r="O27" i="7"/>
  <c r="N25" i="7"/>
  <c r="R25" i="7"/>
  <c r="K25" i="7"/>
  <c r="O25" i="7"/>
  <c r="N23" i="7"/>
  <c r="R23" i="7"/>
  <c r="K23" i="7"/>
  <c r="O23" i="7"/>
  <c r="N21" i="7"/>
  <c r="R21" i="7"/>
  <c r="K21" i="7"/>
  <c r="O21" i="7"/>
  <c r="N19" i="7"/>
  <c r="R19" i="7"/>
  <c r="K19" i="7"/>
  <c r="O19" i="7"/>
  <c r="L16" i="7"/>
  <c r="L12" i="7"/>
  <c r="L8" i="7"/>
  <c r="N47" i="7"/>
  <c r="R47" i="7"/>
  <c r="N45" i="7"/>
  <c r="R45" i="7"/>
  <c r="N43" i="7"/>
  <c r="R43" i="7"/>
  <c r="N41" i="7"/>
  <c r="R41" i="7"/>
  <c r="N39" i="7"/>
  <c r="R39" i="7"/>
  <c r="Q49" i="7"/>
  <c r="R48" i="7"/>
  <c r="Q47" i="7"/>
  <c r="M46" i="7"/>
  <c r="O49" i="7"/>
  <c r="O48" i="7"/>
  <c r="O47" i="7"/>
  <c r="O45" i="7"/>
  <c r="O43" i="7"/>
  <c r="O42" i="7"/>
  <c r="O41" i="7"/>
  <c r="O39" i="7"/>
  <c r="M36" i="7"/>
  <c r="Q36" i="7"/>
  <c r="M34" i="7"/>
  <c r="Q34" i="7"/>
  <c r="M32" i="7"/>
  <c r="Q32" i="7"/>
  <c r="M30" i="7"/>
  <c r="Q30" i="7"/>
  <c r="M28" i="7"/>
  <c r="Q28" i="7"/>
  <c r="M26" i="7"/>
  <c r="Q26" i="7"/>
  <c r="M24" i="7"/>
  <c r="Q24" i="7"/>
  <c r="M22" i="7"/>
  <c r="Q22" i="7"/>
  <c r="M20" i="7"/>
  <c r="Q20" i="7"/>
  <c r="M18" i="7"/>
  <c r="Q18" i="7"/>
  <c r="R16" i="7"/>
  <c r="K14" i="7"/>
  <c r="O14" i="7"/>
  <c r="M14" i="7"/>
  <c r="Q14" i="7"/>
  <c r="R12" i="7"/>
  <c r="K10" i="7"/>
  <c r="O10" i="7"/>
  <c r="M10" i="7"/>
  <c r="Q10" i="7"/>
  <c r="R8" i="7"/>
  <c r="M49" i="7"/>
  <c r="N48" i="7"/>
  <c r="L46" i="7"/>
  <c r="P46" i="7"/>
  <c r="L44" i="7"/>
  <c r="P44" i="7"/>
  <c r="M43" i="7"/>
  <c r="N42" i="7"/>
  <c r="L40" i="7"/>
  <c r="P40" i="7"/>
  <c r="N16" i="7"/>
  <c r="N12" i="7"/>
  <c r="N8" i="7"/>
  <c r="O17" i="7"/>
  <c r="K17" i="7"/>
  <c r="O15" i="7"/>
  <c r="K15" i="7"/>
  <c r="O13" i="7"/>
  <c r="K13" i="7"/>
  <c r="O11" i="7"/>
  <c r="K11" i="7"/>
  <c r="O9" i="7"/>
  <c r="K9" i="7"/>
  <c r="O7" i="7"/>
  <c r="K7" i="7"/>
  <c r="P38" i="7"/>
  <c r="P36" i="7"/>
  <c r="P34" i="7"/>
  <c r="P32" i="7"/>
  <c r="P30" i="7"/>
  <c r="P28" i="7"/>
  <c r="P26" i="7"/>
  <c r="P24" i="7"/>
  <c r="P22" i="7"/>
  <c r="P20" i="7"/>
  <c r="P18" i="7"/>
  <c r="R17" i="7"/>
  <c r="P16" i="7"/>
  <c r="R15" i="7"/>
  <c r="P14" i="7"/>
  <c r="R13" i="7"/>
  <c r="P12" i="7"/>
  <c r="R11" i="7"/>
  <c r="P10" i="7"/>
  <c r="R9" i="7"/>
  <c r="P8" i="7"/>
  <c r="R7" i="7"/>
  <c r="G41" i="5"/>
  <c r="O22" i="5" l="1"/>
  <c r="M12" i="5"/>
  <c r="G61" i="5" l="1"/>
  <c r="K61" i="5"/>
  <c r="C61" i="5"/>
  <c r="K41" i="5"/>
  <c r="C41" i="5"/>
  <c r="K12" i="5"/>
  <c r="I24" i="5"/>
  <c r="G12" i="5"/>
  <c r="E24" i="5"/>
  <c r="E12" i="5"/>
  <c r="C12" i="5"/>
</calcChain>
</file>

<file path=xl/comments1.xml><?xml version="1.0" encoding="utf-8"?>
<comments xmlns="http://schemas.openxmlformats.org/spreadsheetml/2006/main">
  <authors>
    <author>Mariano</author>
  </authors>
  <commentList>
    <comment ref="L9" authorId="0" shapeId="0">
      <text>
        <r>
          <rPr>
            <b/>
            <sz val="9"/>
            <color indexed="81"/>
            <rFont val="Tahoma"/>
            <family val="2"/>
          </rPr>
          <t>Especifico. Defensivo:
- Rechazo + 2vs1
- Cobertura. 2vs2+1 
2da jugada</t>
        </r>
      </text>
    </comment>
    <comment ref="V21" authorId="0" shapeId="0">
      <text>
        <r>
          <rPr>
            <b/>
            <sz val="9"/>
            <color indexed="81"/>
            <rFont val="Tahoma"/>
            <family val="2"/>
          </rPr>
          <t>Especifico. Defensivo:
- Rechazo + 2vs1
- Cobertura. 2vs2+1 
2da jugada</t>
        </r>
      </text>
    </comment>
  </commentList>
</comments>
</file>

<file path=xl/sharedStrings.xml><?xml version="1.0" encoding="utf-8"?>
<sst xmlns="http://schemas.openxmlformats.org/spreadsheetml/2006/main" count="275" uniqueCount="127">
  <si>
    <t>Lunes</t>
  </si>
  <si>
    <t>Martes</t>
  </si>
  <si>
    <t>Miércoles</t>
  </si>
  <si>
    <t>Jueves</t>
  </si>
  <si>
    <t>Viernes</t>
  </si>
  <si>
    <t>Sábado</t>
  </si>
  <si>
    <t>Domingo</t>
  </si>
  <si>
    <t>Tec.Ind</t>
  </si>
  <si>
    <t>Tec x pareja</t>
  </si>
  <si>
    <t>Rueda pases</t>
  </si>
  <si>
    <t>Reducido 9vs9</t>
  </si>
  <si>
    <t>Fuerza-Isometrica</t>
  </si>
  <si>
    <t>Torneo 4 equipos</t>
  </si>
  <si>
    <t>Posesion 4vs4+3</t>
  </si>
  <si>
    <t>Coord+velocidad</t>
  </si>
  <si>
    <t>Rondos 6vs3+1</t>
  </si>
  <si>
    <t>Amistoso</t>
  </si>
  <si>
    <t>GYM</t>
  </si>
  <si>
    <t>Trans.At-Def</t>
  </si>
  <si>
    <t>Mitad campo</t>
  </si>
  <si>
    <t>Reducido 7vs7+7</t>
  </si>
  <si>
    <t>Mañana</t>
  </si>
  <si>
    <t>Tarde</t>
  </si>
  <si>
    <t>4 arcos pequeños</t>
  </si>
  <si>
    <t>Reducido 10x10</t>
  </si>
  <si>
    <t>Remate+oposición</t>
  </si>
  <si>
    <t>Posesion 4vs4+2. Trans</t>
  </si>
  <si>
    <t>Tactico. 11vs11</t>
  </si>
  <si>
    <t>Posesion 3 colores</t>
  </si>
  <si>
    <t>6x6x6</t>
  </si>
  <si>
    <t>3/4 campo. Pelota parada</t>
  </si>
  <si>
    <t>Sem 17.12.18</t>
  </si>
  <si>
    <t>Sem 24.12.18</t>
  </si>
  <si>
    <t>LIBRE</t>
  </si>
  <si>
    <t>Intermitente</t>
  </si>
  <si>
    <t>Analitico</t>
  </si>
  <si>
    <t>Táctico Zonal. Defensivo.</t>
  </si>
  <si>
    <t>Especifico. Def. 2vs1+2vs2</t>
  </si>
  <si>
    <t>Aerobico</t>
  </si>
  <si>
    <t>4000 m</t>
  </si>
  <si>
    <t>Con balón</t>
  </si>
  <si>
    <t>Reducido 6x6x6. Remate</t>
  </si>
  <si>
    <t>Especifico. Def. 3vs3</t>
  </si>
  <si>
    <t>Bloque bajo. Intermedio</t>
  </si>
  <si>
    <t>Reducido 10vs10. 3 eq.</t>
  </si>
  <si>
    <t>?</t>
  </si>
  <si>
    <t>Especifico. Def. Juego Aéreo</t>
  </si>
  <si>
    <t>Rechazo frontal. Lateral</t>
  </si>
  <si>
    <t>Salidas de juego</t>
  </si>
  <si>
    <t>Especifico. Tactica Def.</t>
  </si>
  <si>
    <t>2da jugada</t>
  </si>
  <si>
    <t>Sala de Video</t>
  </si>
  <si>
    <t>Modelo Juego</t>
  </si>
  <si>
    <t>Roman Riquelme</t>
  </si>
  <si>
    <t>Entrenamiento en GYM</t>
  </si>
  <si>
    <t>Zinedine Zidane</t>
  </si>
  <si>
    <t>Manchester City</t>
  </si>
  <si>
    <t>Atletico Madrid</t>
  </si>
  <si>
    <t>Final World Cup</t>
  </si>
  <si>
    <t>Francia-Croacia</t>
  </si>
  <si>
    <t>EXAMEN</t>
  </si>
  <si>
    <t>Reducido 9vs9. mini -port</t>
  </si>
  <si>
    <t>Especifico. Def. Anticipo. Cobertura</t>
  </si>
  <si>
    <t>10vs10 .3/4 campo</t>
  </si>
  <si>
    <t>Especifico. Def. 3vs2</t>
  </si>
  <si>
    <t>Retroceso.Coberturas</t>
  </si>
  <si>
    <t>Reducido 9x9+1</t>
  </si>
  <si>
    <t>Torneo</t>
  </si>
  <si>
    <t>Especifico. Juego Aereo</t>
  </si>
  <si>
    <t>2vs1. Rechazo+Cobertura</t>
  </si>
  <si>
    <t>Reducido 8vs8</t>
  </si>
  <si>
    <t>Jueves 20.12</t>
  </si>
  <si>
    <t>2001 vs 2002</t>
  </si>
  <si>
    <t>Intermitente c/ pelota</t>
  </si>
  <si>
    <t>Sem 01.09.25</t>
  </si>
  <si>
    <t>Duelos 2vs2 + 3vs3</t>
  </si>
  <si>
    <t>Posesion 3vs3 + 3</t>
  </si>
  <si>
    <t>Duelos 3vs3</t>
  </si>
  <si>
    <t>Rondo 4vs1</t>
  </si>
  <si>
    <t>Rondo 4vs2</t>
  </si>
  <si>
    <t>Partido 7vs7</t>
  </si>
  <si>
    <t>Partido 11vs11</t>
  </si>
  <si>
    <t>Posesión 4vs4</t>
  </si>
  <si>
    <t>Nº deceleraciones (&gt;3m/s^2)</t>
  </si>
  <si>
    <t>Dist. Total (m) deceleración (&gt;2m/s^2)</t>
  </si>
  <si>
    <t>Nº aceleraciones (&gt;3m/s^2)</t>
  </si>
  <si>
    <t>Dist. Total (m) aceleracion (&gt;2m/s^2)</t>
  </si>
  <si>
    <t>Nº sprints (&gt;21 km/h)</t>
  </si>
  <si>
    <t>Dist. total sprint (m) (&gt;21 km/h)</t>
  </si>
  <si>
    <t>Dist. total PM (m) (&gt;20W/kg)</t>
  </si>
  <si>
    <t>Distancia total (m)</t>
  </si>
  <si>
    <t>Tiempo total (min)</t>
  </si>
  <si>
    <t>Minutos</t>
  </si>
  <si>
    <t>Series</t>
  </si>
  <si>
    <t>Densidad</t>
  </si>
  <si>
    <t>Ancho (m)</t>
  </si>
  <si>
    <t>Largo (m)</t>
  </si>
  <si>
    <t>Nº defensas</t>
  </si>
  <si>
    <t>Nº atacantes</t>
  </si>
  <si>
    <t>Ejercicio</t>
  </si>
  <si>
    <t>DATOS CARGA EXTERNA</t>
  </si>
  <si>
    <t>TIEMPO</t>
  </si>
  <si>
    <t>ESPACIO</t>
  </si>
  <si>
    <t>JUGADORES</t>
  </si>
  <si>
    <t>@MarianoGalean16</t>
  </si>
  <si>
    <t xml:space="preserve">Sangnier et al (2018). Planning training workload in football using small-sided games density. </t>
  </si>
  <si>
    <t>CALCULADORA CARGA EXTERNA</t>
  </si>
  <si>
    <t xml:space="preserve">Viernes </t>
  </si>
  <si>
    <t>Castellano y Casamichana (2016)</t>
  </si>
  <si>
    <t>nº de deceleraciones &gt;-3m/s^2</t>
  </si>
  <si>
    <t>Dist. total deceleración (&gt;-2m/s^2) (m)</t>
  </si>
  <si>
    <t>Tiempo</t>
  </si>
  <si>
    <t>Total tiempo</t>
  </si>
  <si>
    <t>nº de aceleraciones &gt;3m/s^2</t>
  </si>
  <si>
    <t>Dist. total aceleración (&gt;2m/s^2) (m)</t>
  </si>
  <si>
    <t>Ancho</t>
  </si>
  <si>
    <t>Largo</t>
  </si>
  <si>
    <t>Espacio (m)</t>
  </si>
  <si>
    <t>nº de sprints (&gt;21 km/h) (m)</t>
  </si>
  <si>
    <t>Dist. total sprint (&gt;21km/h) (m)</t>
  </si>
  <si>
    <t>Dist. total MP (&gt;20W/kg) (m)</t>
  </si>
  <si>
    <t>Defensas</t>
  </si>
  <si>
    <t>Atacantes</t>
  </si>
  <si>
    <t>Nº de jugadores</t>
  </si>
  <si>
    <t>MarianoGalean16</t>
  </si>
  <si>
    <t>Castellano y Casamichana (2016). El arte de planificar en fútbol</t>
  </si>
  <si>
    <t>5/92025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</si>
</sst>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2"/>
      <color theme="0"/>
      <name val="Garamond"/>
      <family val="1"/>
    </font>
    <font>
      <sz val="10"/>
      <name val="Arial"/>
      <family val="2"/>
    </font>
    <font>
      <b/>
      <i/>
      <sz val="12"/>
      <color theme="1"/>
      <name val="Garamond"/>
      <family val="1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theme="1"/>
        <bgColor theme="1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1F3864"/>
        <bgColor rgb="FF1F3864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7B7B7B"/>
        <bgColor rgb="FF7B7B7B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FCCCC"/>
        <bgColor rgb="FFFFCCCC"/>
      </patternFill>
    </fill>
    <fill>
      <patternFill patternType="solid">
        <fgColor rgb="FFFF6699"/>
        <bgColor rgb="FFFF6699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108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1" fillId="5" borderId="0" xfId="0" applyFont="1" applyFill="1"/>
    <xf numFmtId="0" fontId="0" fillId="8" borderId="0" xfId="0" applyFill="1"/>
    <xf numFmtId="0" fontId="0" fillId="9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1" fillId="10" borderId="0" xfId="0" applyFont="1" applyFill="1"/>
    <xf numFmtId="0" fontId="1" fillId="10" borderId="0" xfId="0" applyFont="1" applyFill="1" applyAlignment="1">
      <alignment horizontal="center"/>
    </xf>
    <xf numFmtId="0" fontId="1" fillId="11" borderId="0" xfId="0" applyFont="1" applyFill="1"/>
    <xf numFmtId="0" fontId="0" fillId="8" borderId="3" xfId="0" applyFill="1" applyBorder="1"/>
    <xf numFmtId="0" fontId="0" fillId="8" borderId="4" xfId="0" applyFill="1" applyBorder="1"/>
    <xf numFmtId="0" fontId="0" fillId="13" borderId="0" xfId="0" applyFill="1"/>
    <xf numFmtId="0" fontId="0" fillId="10" borderId="0" xfId="0" applyFill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14" borderId="0" xfId="0" applyFont="1" applyFill="1"/>
    <xf numFmtId="0" fontId="0" fillId="2" borderId="0" xfId="0" applyFill="1" applyBorder="1"/>
    <xf numFmtId="0" fontId="0" fillId="2" borderId="0" xfId="0" applyFill="1" applyBorder="1" applyAlignment="1"/>
    <xf numFmtId="0" fontId="2" fillId="15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/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Border="1" applyAlignment="1">
      <alignment horizontal="center"/>
    </xf>
    <xf numFmtId="0" fontId="1" fillId="2" borderId="0" xfId="0" applyFont="1" applyFill="1" applyBorder="1"/>
    <xf numFmtId="0" fontId="0" fillId="12" borderId="7" xfId="0" applyFill="1" applyBorder="1"/>
    <xf numFmtId="0" fontId="0" fillId="2" borderId="5" xfId="0" applyFill="1" applyBorder="1"/>
    <xf numFmtId="0" fontId="0" fillId="17" borderId="0" xfId="0" applyFill="1"/>
    <xf numFmtId="0" fontId="1" fillId="18" borderId="0" xfId="0" applyFont="1" applyFill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 applyAlignment="1"/>
    <xf numFmtId="0" fontId="6" fillId="19" borderId="0" xfId="1" applyFont="1" applyFill="1" applyBorder="1" applyAlignment="1">
      <alignment horizontal="center" vertical="center"/>
    </xf>
    <xf numFmtId="164" fontId="6" fillId="20" borderId="1" xfId="1" applyNumberFormat="1" applyFont="1" applyFill="1" applyBorder="1" applyAlignment="1">
      <alignment horizontal="center" vertical="center"/>
    </xf>
    <xf numFmtId="1" fontId="6" fillId="21" borderId="1" xfId="1" applyNumberFormat="1" applyFont="1" applyFill="1" applyBorder="1" applyAlignment="1">
      <alignment horizontal="center" vertical="center"/>
    </xf>
    <xf numFmtId="1" fontId="6" fillId="22" borderId="1" xfId="1" applyNumberFormat="1" applyFont="1" applyFill="1" applyBorder="1" applyAlignment="1">
      <alignment horizontal="center" vertical="center"/>
    </xf>
    <xf numFmtId="1" fontId="6" fillId="23" borderId="1" xfId="1" applyNumberFormat="1" applyFont="1" applyFill="1" applyBorder="1" applyAlignment="1">
      <alignment horizontal="center" vertical="center"/>
    </xf>
    <xf numFmtId="1" fontId="6" fillId="24" borderId="1" xfId="1" applyNumberFormat="1" applyFont="1" applyFill="1" applyBorder="1" applyAlignment="1">
      <alignment horizontal="center" vertical="center"/>
    </xf>
    <xf numFmtId="1" fontId="6" fillId="25" borderId="1" xfId="1" applyNumberFormat="1" applyFont="1" applyFill="1" applyBorder="1" applyAlignment="1">
      <alignment horizontal="center" vertical="center"/>
    </xf>
    <xf numFmtId="0" fontId="6" fillId="19" borderId="0" xfId="1" applyFont="1" applyFill="1" applyBorder="1" applyAlignment="1">
      <alignment horizontal="center" vertical="center" wrapText="1"/>
    </xf>
    <xf numFmtId="0" fontId="7" fillId="26" borderId="1" xfId="1" applyFont="1" applyFill="1" applyBorder="1" applyAlignment="1">
      <alignment horizontal="center" vertical="center" wrapText="1"/>
    </xf>
    <xf numFmtId="0" fontId="7" fillId="27" borderId="1" xfId="1" applyFont="1" applyFill="1" applyBorder="1" applyAlignment="1">
      <alignment horizontal="center" vertical="center" wrapText="1"/>
    </xf>
    <xf numFmtId="0" fontId="8" fillId="28" borderId="1" xfId="1" applyFont="1" applyFill="1" applyBorder="1" applyAlignment="1">
      <alignment horizontal="center" vertical="center" wrapText="1"/>
    </xf>
    <xf numFmtId="0" fontId="7" fillId="29" borderId="1" xfId="1" applyFont="1" applyFill="1" applyBorder="1" applyAlignment="1">
      <alignment horizontal="center" vertical="center" wrapText="1"/>
    </xf>
    <xf numFmtId="0" fontId="7" fillId="30" borderId="1" xfId="1" applyFont="1" applyFill="1" applyBorder="1" applyAlignment="1">
      <alignment horizontal="center" vertical="center" wrapText="1"/>
    </xf>
    <xf numFmtId="0" fontId="7" fillId="31" borderId="1" xfId="1" applyFont="1" applyFill="1" applyBorder="1" applyAlignment="1">
      <alignment horizontal="center" vertical="center" wrapText="1"/>
    </xf>
    <xf numFmtId="0" fontId="7" fillId="28" borderId="0" xfId="1" applyFont="1" applyFill="1" applyBorder="1" applyAlignment="1">
      <alignment horizontal="center" vertical="center"/>
    </xf>
    <xf numFmtId="0" fontId="8" fillId="19" borderId="0" xfId="1" applyFont="1" applyFill="1" applyBorder="1" applyAlignment="1">
      <alignment horizontal="center" vertical="center"/>
    </xf>
    <xf numFmtId="0" fontId="7" fillId="19" borderId="0" xfId="1" applyFont="1" applyFill="1" applyBorder="1"/>
    <xf numFmtId="0" fontId="7" fillId="19" borderId="0" xfId="1" quotePrefix="1" applyFont="1" applyFill="1" applyBorder="1"/>
    <xf numFmtId="0" fontId="6" fillId="19" borderId="0" xfId="1" applyFont="1" applyFill="1" applyBorder="1"/>
    <xf numFmtId="0" fontId="6" fillId="19" borderId="0" xfId="1" applyFont="1" applyFill="1" applyBorder="1" applyAlignment="1">
      <alignment vertical="center"/>
    </xf>
    <xf numFmtId="0" fontId="7" fillId="21" borderId="28" xfId="1" applyFont="1" applyFill="1" applyBorder="1" applyAlignment="1">
      <alignment horizontal="center" vertical="center"/>
    </xf>
    <xf numFmtId="0" fontId="7" fillId="19" borderId="0" xfId="1" applyFont="1" applyFill="1" applyBorder="1" applyAlignment="1">
      <alignment horizontal="center" vertical="center"/>
    </xf>
    <xf numFmtId="0" fontId="7" fillId="40" borderId="28" xfId="1" applyFont="1" applyFill="1" applyBorder="1" applyAlignment="1">
      <alignment horizontal="center" vertical="center"/>
    </xf>
    <xf numFmtId="0" fontId="7" fillId="39" borderId="28" xfId="1" applyFont="1" applyFill="1" applyBorder="1" applyAlignment="1">
      <alignment horizontal="center"/>
    </xf>
    <xf numFmtId="0" fontId="6" fillId="19" borderId="0" xfId="1" applyFont="1" applyFill="1" applyBorder="1" applyAlignment="1"/>
    <xf numFmtId="0" fontId="7" fillId="42" borderId="28" xfId="1" applyFont="1" applyFill="1" applyBorder="1" applyAlignment="1">
      <alignment horizontal="center"/>
    </xf>
    <xf numFmtId="0" fontId="7" fillId="19" borderId="0" xfId="1" applyFont="1" applyFill="1" applyBorder="1" applyAlignment="1">
      <alignment horizontal="center"/>
    </xf>
    <xf numFmtId="0" fontId="0" fillId="4" borderId="5" xfId="0" applyFill="1" applyBorder="1"/>
    <xf numFmtId="14" fontId="2" fillId="3" borderId="0" xfId="0" applyNumberFormat="1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16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8" fillId="36" borderId="0" xfId="1" applyFont="1" applyFill="1" applyBorder="1" applyAlignment="1">
      <alignment horizontal="center" vertical="center"/>
    </xf>
    <xf numFmtId="0" fontId="9" fillId="0" borderId="0" xfId="1" applyFont="1" applyBorder="1"/>
    <xf numFmtId="0" fontId="10" fillId="19" borderId="13" xfId="1" applyFont="1" applyFill="1" applyBorder="1" applyAlignment="1">
      <alignment horizontal="center" vertical="center"/>
    </xf>
    <xf numFmtId="0" fontId="9" fillId="0" borderId="12" xfId="1" applyFont="1" applyBorder="1"/>
    <xf numFmtId="0" fontId="9" fillId="0" borderId="11" xfId="1" applyFont="1" applyBorder="1"/>
    <xf numFmtId="0" fontId="7" fillId="35" borderId="13" xfId="1" applyFont="1" applyFill="1" applyBorder="1" applyAlignment="1">
      <alignment horizontal="center" vertical="center"/>
    </xf>
    <xf numFmtId="0" fontId="7" fillId="34" borderId="13" xfId="1" applyFont="1" applyFill="1" applyBorder="1" applyAlignment="1">
      <alignment horizontal="center" vertical="center"/>
    </xf>
    <xf numFmtId="0" fontId="7" fillId="33" borderId="13" xfId="1" applyFont="1" applyFill="1" applyBorder="1" applyAlignment="1">
      <alignment horizontal="center" vertical="center"/>
    </xf>
    <xf numFmtId="0" fontId="7" fillId="32" borderId="13" xfId="1" applyFont="1" applyFill="1" applyBorder="1" applyAlignment="1">
      <alignment horizontal="center" vertical="center"/>
    </xf>
    <xf numFmtId="1" fontId="7" fillId="37" borderId="16" xfId="1" applyNumberFormat="1" applyFont="1" applyFill="1" applyBorder="1" applyAlignment="1">
      <alignment horizontal="center"/>
    </xf>
    <xf numFmtId="0" fontId="9" fillId="0" borderId="15" xfId="1" applyFont="1" applyBorder="1"/>
    <xf numFmtId="0" fontId="9" fillId="0" borderId="14" xfId="1" applyFont="1" applyBorder="1"/>
    <xf numFmtId="0" fontId="8" fillId="28" borderId="23" xfId="1" applyFont="1" applyFill="1" applyBorder="1" applyAlignment="1">
      <alignment horizontal="center"/>
    </xf>
    <xf numFmtId="0" fontId="9" fillId="0" borderId="22" xfId="1" applyFont="1" applyBorder="1"/>
    <xf numFmtId="0" fontId="9" fillId="0" borderId="21" xfId="1" applyFont="1" applyBorder="1"/>
    <xf numFmtId="0" fontId="6" fillId="31" borderId="24" xfId="1" applyFont="1" applyFill="1" applyBorder="1" applyAlignment="1">
      <alignment horizontal="center" vertical="center"/>
    </xf>
    <xf numFmtId="0" fontId="9" fillId="0" borderId="17" xfId="1" applyFont="1" applyBorder="1"/>
    <xf numFmtId="0" fontId="10" fillId="19" borderId="23" xfId="1" applyFont="1" applyFill="1" applyBorder="1" applyAlignment="1">
      <alignment horizontal="center" vertical="center"/>
    </xf>
    <xf numFmtId="0" fontId="10" fillId="19" borderId="23" xfId="1" applyFont="1" applyFill="1" applyBorder="1" applyAlignment="1">
      <alignment horizontal="center"/>
    </xf>
    <xf numFmtId="0" fontId="7" fillId="19" borderId="0" xfId="1" applyFont="1" applyFill="1" applyBorder="1" applyAlignment="1">
      <alignment horizontal="center"/>
    </xf>
    <xf numFmtId="0" fontId="7" fillId="19" borderId="0" xfId="1" quotePrefix="1" applyFont="1" applyFill="1" applyBorder="1" applyAlignment="1">
      <alignment horizontal="center"/>
    </xf>
    <xf numFmtId="0" fontId="7" fillId="39" borderId="24" xfId="1" applyFont="1" applyFill="1" applyBorder="1" applyAlignment="1">
      <alignment horizontal="center" wrapText="1"/>
    </xf>
    <xf numFmtId="0" fontId="7" fillId="43" borderId="30" xfId="1" applyFont="1" applyFill="1" applyBorder="1" applyAlignment="1">
      <alignment horizontal="center" vertical="center"/>
    </xf>
    <xf numFmtId="0" fontId="9" fillId="0" borderId="29" xfId="1" applyFont="1" applyBorder="1"/>
    <xf numFmtId="0" fontId="9" fillId="0" borderId="27" xfId="1" applyFont="1" applyBorder="1"/>
    <xf numFmtId="0" fontId="9" fillId="0" borderId="26" xfId="1" applyFont="1" applyBorder="1"/>
    <xf numFmtId="0" fontId="9" fillId="0" borderId="20" xfId="1" applyFont="1" applyBorder="1"/>
    <xf numFmtId="0" fontId="9" fillId="0" borderId="19" xfId="1" applyFont="1" applyBorder="1"/>
    <xf numFmtId="0" fontId="6" fillId="19" borderId="25" xfId="1" applyFont="1" applyFill="1" applyBorder="1" applyAlignment="1">
      <alignment horizontal="center" vertical="center"/>
    </xf>
    <xf numFmtId="0" fontId="9" fillId="0" borderId="18" xfId="1" applyFont="1" applyBorder="1"/>
    <xf numFmtId="1" fontId="6" fillId="31" borderId="24" xfId="1" applyNumberFormat="1" applyFont="1" applyFill="1" applyBorder="1" applyAlignment="1">
      <alignment horizontal="center" vertical="center"/>
    </xf>
    <xf numFmtId="0" fontId="7" fillId="41" borderId="30" xfId="1" applyFont="1" applyFill="1" applyBorder="1" applyAlignment="1">
      <alignment horizontal="center" vertical="center"/>
    </xf>
    <xf numFmtId="0" fontId="7" fillId="38" borderId="30" xfId="1" applyFont="1" applyFill="1" applyBorder="1" applyAlignment="1">
      <alignment horizontal="center" vertical="center"/>
    </xf>
    <xf numFmtId="0" fontId="8" fillId="28" borderId="23" xfId="1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</xdr:row>
      <xdr:rowOff>66675</xdr:rowOff>
    </xdr:from>
    <xdr:to>
      <xdr:col>0</xdr:col>
      <xdr:colOff>781928</xdr:colOff>
      <xdr:row>7</xdr:row>
      <xdr:rowOff>16049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47675"/>
          <a:ext cx="705728" cy="711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285750</xdr:colOff>
      <xdr:row>2</xdr:row>
      <xdr:rowOff>57150</xdr:rowOff>
    </xdr:from>
    <xdr:ext cx="314325" cy="266700"/>
    <xdr:pic>
      <xdr:nvPicPr>
        <xdr:cNvPr id="2" name="image1.png" descr="F:\Infografias\Fotos\twitter-logo-sin-fond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0350" y="381000"/>
          <a:ext cx="31432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</xdr:colOff>
      <xdr:row>4</xdr:row>
      <xdr:rowOff>161925</xdr:rowOff>
    </xdr:from>
    <xdr:ext cx="171450" cy="1390650"/>
    <xdr:sp macro="" textlink="">
      <xdr:nvSpPr>
        <xdr:cNvPr id="2" name="Shape 3"/>
        <xdr:cNvSpPr/>
      </xdr:nvSpPr>
      <xdr:spPr>
        <a:xfrm>
          <a:off x="5915025" y="809625"/>
          <a:ext cx="171450" cy="1390650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chemeClr val="accen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276225</xdr:colOff>
      <xdr:row>7</xdr:row>
      <xdr:rowOff>133350</xdr:rowOff>
    </xdr:from>
    <xdr:ext cx="390525" cy="304800"/>
    <xdr:sp macro="" textlink="">
      <xdr:nvSpPr>
        <xdr:cNvPr id="3" name="Shape 4"/>
        <xdr:cNvSpPr/>
      </xdr:nvSpPr>
      <xdr:spPr>
        <a:xfrm>
          <a:off x="6143625" y="1266825"/>
          <a:ext cx="390525" cy="3048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190500</xdr:colOff>
      <xdr:row>13</xdr:row>
      <xdr:rowOff>114300</xdr:rowOff>
    </xdr:from>
    <xdr:ext cx="390525" cy="314325"/>
    <xdr:sp macro="" textlink="">
      <xdr:nvSpPr>
        <xdr:cNvPr id="4" name="Shape 5"/>
        <xdr:cNvSpPr/>
      </xdr:nvSpPr>
      <xdr:spPr>
        <a:xfrm>
          <a:off x="6057900" y="2219325"/>
          <a:ext cx="390525" cy="3143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19050</xdr:colOff>
      <xdr:row>4</xdr:row>
      <xdr:rowOff>104775</xdr:rowOff>
    </xdr:from>
    <xdr:ext cx="180975" cy="2238375"/>
    <xdr:sp macro="" textlink="">
      <xdr:nvSpPr>
        <xdr:cNvPr id="5" name="Shape 6"/>
        <xdr:cNvSpPr/>
      </xdr:nvSpPr>
      <xdr:spPr>
        <a:xfrm>
          <a:off x="7562850" y="752475"/>
          <a:ext cx="180975" cy="2238375"/>
        </a:xfrm>
        <a:prstGeom prst="rightBrace">
          <a:avLst>
            <a:gd name="adj1" fmla="val 8333"/>
            <a:gd name="adj2" fmla="val 50000"/>
          </a:avLst>
        </a:prstGeom>
        <a:solidFill>
          <a:srgbClr val="FFFFFF"/>
        </a:solidFill>
        <a:ln w="9525" cap="flat" cmpd="sng">
          <a:solidFill>
            <a:srgbClr val="00206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9</xdr:col>
      <xdr:colOff>285750</xdr:colOff>
      <xdr:row>9</xdr:row>
      <xdr:rowOff>171450</xdr:rowOff>
    </xdr:from>
    <xdr:ext cx="390525" cy="257175"/>
    <xdr:sp macro="" textlink="">
      <xdr:nvSpPr>
        <xdr:cNvPr id="6" name="Shape 7"/>
        <xdr:cNvSpPr/>
      </xdr:nvSpPr>
      <xdr:spPr>
        <a:xfrm>
          <a:off x="7829550" y="1619250"/>
          <a:ext cx="390525" cy="257175"/>
        </a:xfrm>
        <a:prstGeom prst="rightArrow">
          <a:avLst>
            <a:gd name="adj1" fmla="val 50000"/>
            <a:gd name="adj2" fmla="val 50000"/>
          </a:avLst>
        </a:prstGeom>
        <a:solidFill>
          <a:srgbClr val="FF6699"/>
        </a:solidFill>
        <a:ln w="12700" cap="flat" cmpd="sng">
          <a:solidFill>
            <a:srgbClr val="00206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466725</xdr:colOff>
      <xdr:row>2</xdr:row>
      <xdr:rowOff>171450</xdr:rowOff>
    </xdr:from>
    <xdr:ext cx="314325" cy="266700"/>
    <xdr:pic>
      <xdr:nvPicPr>
        <xdr:cNvPr id="7" name="image2.png" descr="F:\Infografias\Fotos\twitter-logo-sin-fondo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9525" y="485775"/>
          <a:ext cx="3143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17</xdr:row>
      <xdr:rowOff>66675</xdr:rowOff>
    </xdr:from>
    <xdr:ext cx="6038850" cy="2514600"/>
    <xdr:pic>
      <xdr:nvPicPr>
        <xdr:cNvPr id="8" name="image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62850" y="2819400"/>
          <a:ext cx="6038850" cy="2514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18</xdr:row>
      <xdr:rowOff>9525</xdr:rowOff>
    </xdr:from>
    <xdr:ext cx="3819525" cy="2057400"/>
    <xdr:pic>
      <xdr:nvPicPr>
        <xdr:cNvPr id="9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19275" y="2924175"/>
          <a:ext cx="3819525" cy="20574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32</xdr:row>
      <xdr:rowOff>0</xdr:rowOff>
    </xdr:from>
    <xdr:ext cx="10058400" cy="883683"/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5181600"/>
          <a:ext cx="10058400" cy="883683"/>
        </a:xfrm>
        <a:prstGeom prst="rect">
          <a:avLst/>
        </a:prstGeom>
      </xdr:spPr>
    </xdr:pic>
    <xdr:clientData/>
  </xdr:oneCellAnchor>
  <xdr:oneCellAnchor>
    <xdr:from>
      <xdr:col>2</xdr:col>
      <xdr:colOff>35700</xdr:colOff>
      <xdr:row>37</xdr:row>
      <xdr:rowOff>7125</xdr:rowOff>
    </xdr:from>
    <xdr:ext cx="9029700" cy="942975"/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2100" y="5998350"/>
          <a:ext cx="9029700" cy="9429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>
    <tabColor rgb="FFFFC000"/>
  </sheetPr>
  <dimension ref="A1:V97"/>
  <sheetViews>
    <sheetView tabSelected="1" workbookViewId="0">
      <selection activeCell="B11" sqref="B11"/>
    </sheetView>
  </sheetViews>
  <sheetFormatPr baseColWidth="10" defaultRowHeight="15" x14ac:dyDescent="0.25"/>
  <cols>
    <col min="1" max="1" width="12.42578125" bestFit="1" customWidth="1"/>
    <col min="2" max="2" width="24" bestFit="1" customWidth="1"/>
    <col min="3" max="3" width="5.140625" customWidth="1"/>
    <col min="4" max="4" width="21.28515625" bestFit="1" customWidth="1"/>
    <col min="5" max="5" width="4" bestFit="1" customWidth="1"/>
    <col min="6" max="6" width="22.85546875" bestFit="1" customWidth="1"/>
    <col min="7" max="7" width="4" bestFit="1" customWidth="1"/>
    <col min="8" max="8" width="21.85546875" customWidth="1"/>
    <col min="9" max="9" width="4" bestFit="1" customWidth="1"/>
    <col min="10" max="10" width="23.28515625" bestFit="1" customWidth="1"/>
    <col min="11" max="11" width="4" bestFit="1" customWidth="1"/>
    <col min="12" max="12" width="15.28515625" bestFit="1" customWidth="1"/>
    <col min="13" max="13" width="4.140625" style="36" customWidth="1"/>
    <col min="14" max="14" width="24" bestFit="1" customWidth="1"/>
    <col min="15" max="15" width="4" bestFit="1" customWidth="1"/>
    <col min="16" max="16" width="6.5703125" hidden="1" customWidth="1"/>
    <col min="17" max="17" width="21.28515625" hidden="1" customWidth="1"/>
    <col min="18" max="18" width="4" hidden="1" customWidth="1"/>
    <col min="19" max="19" width="22.85546875" style="1" hidden="1" customWidth="1"/>
    <col min="20" max="20" width="3" hidden="1" customWidth="1"/>
    <col min="22" max="22" width="32.85546875" bestFit="1" customWidth="1"/>
  </cols>
  <sheetData>
    <row r="1" spans="1:22" s="1" customFormat="1" x14ac:dyDescent="0.25">
      <c r="A1" s="3" t="s">
        <v>74</v>
      </c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107</v>
      </c>
      <c r="K1" s="2"/>
      <c r="L1" s="2" t="s">
        <v>5</v>
      </c>
      <c r="M1" s="2"/>
      <c r="N1" s="2" t="s">
        <v>6</v>
      </c>
      <c r="O1" s="2"/>
      <c r="S1" s="7" t="s">
        <v>20</v>
      </c>
      <c r="T1" s="1">
        <v>50</v>
      </c>
      <c r="V1" s="3" t="s">
        <v>7</v>
      </c>
    </row>
    <row r="2" spans="1:22" s="1" customFormat="1" x14ac:dyDescent="0.25">
      <c r="B2" s="66">
        <v>45901</v>
      </c>
      <c r="C2" s="66"/>
      <c r="D2" s="66">
        <v>45902</v>
      </c>
      <c r="F2" s="66">
        <v>45903</v>
      </c>
      <c r="H2" s="66">
        <v>45904</v>
      </c>
      <c r="J2" s="66" t="s">
        <v>126</v>
      </c>
      <c r="L2" s="66">
        <v>45906</v>
      </c>
      <c r="N2" s="66">
        <v>45907</v>
      </c>
      <c r="S2" s="7"/>
      <c r="V2" s="3"/>
    </row>
    <row r="3" spans="1:22" s="1" customFormat="1" x14ac:dyDescent="0.25">
      <c r="A3" s="67" t="s">
        <v>21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9"/>
      <c r="N3" s="12" t="s">
        <v>17</v>
      </c>
      <c r="S3" s="7" t="s">
        <v>26</v>
      </c>
      <c r="T3" s="1">
        <v>20</v>
      </c>
      <c r="V3" s="3" t="s">
        <v>8</v>
      </c>
    </row>
    <row r="4" spans="1:22" s="1" customFormat="1" x14ac:dyDescent="0.25">
      <c r="B4" s="65" t="s">
        <v>7</v>
      </c>
      <c r="C4" s="1">
        <v>10</v>
      </c>
      <c r="D4" s="12" t="s">
        <v>17</v>
      </c>
      <c r="E4" s="1">
        <v>60</v>
      </c>
      <c r="F4" s="3" t="s">
        <v>7</v>
      </c>
      <c r="G4" s="1">
        <v>10</v>
      </c>
      <c r="H4" s="12" t="s">
        <v>17</v>
      </c>
      <c r="I4" s="21">
        <v>60</v>
      </c>
      <c r="J4" s="3" t="s">
        <v>7</v>
      </c>
      <c r="K4" s="21">
        <v>10</v>
      </c>
      <c r="L4" s="3" t="s">
        <v>7</v>
      </c>
      <c r="M4" s="29">
        <v>10</v>
      </c>
      <c r="N4" s="27" t="s">
        <v>34</v>
      </c>
      <c r="S4" s="7" t="s">
        <v>28</v>
      </c>
      <c r="T4" s="1">
        <v>20</v>
      </c>
      <c r="V4" s="11" t="s">
        <v>11</v>
      </c>
    </row>
    <row r="5" spans="1:22" s="1" customFormat="1" x14ac:dyDescent="0.25">
      <c r="B5" s="3" t="s">
        <v>8</v>
      </c>
      <c r="C5" s="1">
        <v>10</v>
      </c>
      <c r="D5" s="27" t="s">
        <v>38</v>
      </c>
      <c r="E5" s="1">
        <v>30</v>
      </c>
      <c r="F5" s="3" t="s">
        <v>8</v>
      </c>
      <c r="G5" s="1">
        <v>10</v>
      </c>
      <c r="H5" s="27" t="s">
        <v>34</v>
      </c>
      <c r="I5" s="21">
        <v>30</v>
      </c>
      <c r="J5" s="3" t="s">
        <v>8</v>
      </c>
      <c r="K5" s="21">
        <v>10</v>
      </c>
      <c r="L5" s="3" t="s">
        <v>8</v>
      </c>
      <c r="M5" s="29">
        <v>10</v>
      </c>
      <c r="N5" s="31" t="s">
        <v>40</v>
      </c>
      <c r="V5" s="8" t="s">
        <v>9</v>
      </c>
    </row>
    <row r="6" spans="1:22" s="1" customFormat="1" x14ac:dyDescent="0.25">
      <c r="B6" s="11" t="s">
        <v>11</v>
      </c>
      <c r="C6" s="1">
        <v>15</v>
      </c>
      <c r="D6" s="28" t="s">
        <v>39</v>
      </c>
      <c r="F6" s="11" t="s">
        <v>11</v>
      </c>
      <c r="G6" s="1">
        <v>15</v>
      </c>
      <c r="H6" s="28" t="s">
        <v>35</v>
      </c>
      <c r="I6" s="21"/>
      <c r="J6" s="11" t="s">
        <v>11</v>
      </c>
      <c r="K6" s="21">
        <v>15</v>
      </c>
      <c r="L6" s="7" t="s">
        <v>28</v>
      </c>
      <c r="M6" s="29">
        <v>15</v>
      </c>
      <c r="N6" s="25"/>
      <c r="V6" s="7" t="s">
        <v>13</v>
      </c>
    </row>
    <row r="7" spans="1:22" s="1" customFormat="1" x14ac:dyDescent="0.25">
      <c r="B7" s="8" t="s">
        <v>9</v>
      </c>
      <c r="C7" s="1">
        <v>10</v>
      </c>
      <c r="F7" s="8" t="s">
        <v>9</v>
      </c>
      <c r="G7" s="1">
        <v>10</v>
      </c>
      <c r="H7" s="21"/>
      <c r="I7" s="21"/>
      <c r="J7" s="8" t="s">
        <v>9</v>
      </c>
      <c r="K7" s="21">
        <v>10</v>
      </c>
      <c r="L7" s="7" t="s">
        <v>29</v>
      </c>
      <c r="M7" s="29"/>
      <c r="N7" s="25"/>
      <c r="V7" s="14" t="s">
        <v>61</v>
      </c>
    </row>
    <row r="8" spans="1:22" s="1" customFormat="1" x14ac:dyDescent="0.25">
      <c r="B8" s="33" t="s">
        <v>65</v>
      </c>
      <c r="C8" s="1">
        <v>20</v>
      </c>
      <c r="F8" s="5" t="s">
        <v>14</v>
      </c>
      <c r="G8" s="1">
        <v>20</v>
      </c>
      <c r="H8" s="21"/>
      <c r="I8" s="21"/>
      <c r="J8" s="20" t="s">
        <v>42</v>
      </c>
      <c r="K8" s="21">
        <v>20</v>
      </c>
      <c r="L8" s="20" t="s">
        <v>68</v>
      </c>
      <c r="M8" s="29">
        <v>10</v>
      </c>
      <c r="N8" s="25"/>
      <c r="V8" s="6" t="s">
        <v>36</v>
      </c>
    </row>
    <row r="9" spans="1:22" s="1" customFormat="1" x14ac:dyDescent="0.25">
      <c r="B9" s="20" t="s">
        <v>64</v>
      </c>
      <c r="C9" s="1">
        <v>20</v>
      </c>
      <c r="F9" s="16" t="s">
        <v>15</v>
      </c>
      <c r="G9" s="1">
        <v>25</v>
      </c>
      <c r="H9" s="35" t="s">
        <v>60</v>
      </c>
      <c r="I9" s="21"/>
      <c r="J9" s="6" t="s">
        <v>36</v>
      </c>
      <c r="K9" s="21">
        <v>25</v>
      </c>
      <c r="L9" s="20" t="s">
        <v>69</v>
      </c>
      <c r="M9" s="29">
        <v>10</v>
      </c>
      <c r="N9" s="25"/>
      <c r="V9" s="4" t="s">
        <v>12</v>
      </c>
    </row>
    <row r="10" spans="1:22" s="1" customFormat="1" x14ac:dyDescent="0.25">
      <c r="B10" s="7" t="s">
        <v>66</v>
      </c>
      <c r="C10" s="1">
        <v>30</v>
      </c>
      <c r="F10" s="7" t="s">
        <v>41</v>
      </c>
      <c r="G10" s="1">
        <v>15</v>
      </c>
      <c r="H10" s="21"/>
      <c r="I10" s="21"/>
      <c r="J10" s="6" t="s">
        <v>43</v>
      </c>
      <c r="K10" s="21"/>
      <c r="L10" s="17" t="s">
        <v>70</v>
      </c>
      <c r="M10" s="29">
        <v>20</v>
      </c>
      <c r="N10" s="25"/>
      <c r="V10" s="5" t="s">
        <v>14</v>
      </c>
    </row>
    <row r="11" spans="1:22" s="1" customFormat="1" x14ac:dyDescent="0.25">
      <c r="B11" s="7" t="s">
        <v>18</v>
      </c>
      <c r="F11" s="13" t="s">
        <v>25</v>
      </c>
      <c r="G11" s="1">
        <v>15</v>
      </c>
      <c r="H11" s="21"/>
      <c r="I11" s="21"/>
      <c r="J11" s="7" t="s">
        <v>44</v>
      </c>
      <c r="K11" s="21">
        <v>25</v>
      </c>
      <c r="L11" s="6" t="s">
        <v>27</v>
      </c>
      <c r="M11" s="29">
        <v>20</v>
      </c>
      <c r="N11" s="25"/>
      <c r="V11" s="20" t="s">
        <v>62</v>
      </c>
    </row>
    <row r="12" spans="1:22" s="1" customFormat="1" x14ac:dyDescent="0.25">
      <c r="C12" s="1">
        <f>SUM(C3:C11)</f>
        <v>115</v>
      </c>
      <c r="E12" s="1">
        <f>SUM(E3:E11)</f>
        <v>90</v>
      </c>
      <c r="G12" s="1">
        <f>SUM(G3:G11)</f>
        <v>120</v>
      </c>
      <c r="H12" s="30"/>
      <c r="I12" s="21"/>
      <c r="K12" s="1">
        <f>SUM(K3:K11)</f>
        <v>115</v>
      </c>
      <c r="L12" s="21"/>
      <c r="M12" s="9">
        <f>SUM(M3:M11)</f>
        <v>95</v>
      </c>
      <c r="N12" s="25"/>
      <c r="V12" s="6" t="s">
        <v>63</v>
      </c>
    </row>
    <row r="13" spans="1:22" s="1" customFormat="1" x14ac:dyDescent="0.25">
      <c r="A13" s="67" t="s">
        <v>22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9"/>
      <c r="N13" s="25"/>
      <c r="V13" s="20" t="s">
        <v>46</v>
      </c>
    </row>
    <row r="14" spans="1:22" s="1" customFormat="1" x14ac:dyDescent="0.25">
      <c r="D14" s="3" t="s">
        <v>7</v>
      </c>
      <c r="E14" s="1">
        <v>10</v>
      </c>
      <c r="F14" s="18"/>
      <c r="H14" s="3" t="s">
        <v>7</v>
      </c>
      <c r="I14" s="1">
        <v>10</v>
      </c>
      <c r="M14" s="9"/>
      <c r="N14" s="3" t="s">
        <v>7</v>
      </c>
      <c r="O14" s="1">
        <v>10</v>
      </c>
      <c r="V14" s="20" t="s">
        <v>62</v>
      </c>
    </row>
    <row r="15" spans="1:22" s="1" customFormat="1" x14ac:dyDescent="0.25">
      <c r="D15" s="3" t="s">
        <v>8</v>
      </c>
      <c r="E15" s="1">
        <v>10</v>
      </c>
      <c r="F15" s="18"/>
      <c r="H15" s="3" t="s">
        <v>8</v>
      </c>
      <c r="I15" s="1">
        <v>10</v>
      </c>
      <c r="M15" s="9"/>
      <c r="N15" s="3" t="s">
        <v>8</v>
      </c>
      <c r="O15" s="1">
        <v>10</v>
      </c>
      <c r="V15" s="33" t="s">
        <v>48</v>
      </c>
    </row>
    <row r="16" spans="1:22" s="1" customFormat="1" x14ac:dyDescent="0.25">
      <c r="D16" s="7" t="s">
        <v>13</v>
      </c>
      <c r="E16" s="1">
        <v>25</v>
      </c>
      <c r="F16" s="18"/>
      <c r="H16" s="7" t="s">
        <v>13</v>
      </c>
      <c r="I16" s="1">
        <v>20</v>
      </c>
      <c r="M16" s="9"/>
      <c r="N16" s="11" t="s">
        <v>11</v>
      </c>
      <c r="O16" s="1">
        <v>15</v>
      </c>
      <c r="V16" s="34" t="s">
        <v>51</v>
      </c>
    </row>
    <row r="17" spans="1:22" s="1" customFormat="1" x14ac:dyDescent="0.25">
      <c r="D17" s="7" t="s">
        <v>28</v>
      </c>
      <c r="E17" s="1">
        <v>25</v>
      </c>
      <c r="F17" s="18"/>
      <c r="H17" s="14" t="s">
        <v>10</v>
      </c>
      <c r="I17" s="1">
        <v>20</v>
      </c>
      <c r="M17" s="9"/>
      <c r="N17" s="8" t="s">
        <v>9</v>
      </c>
      <c r="O17" s="1">
        <v>10</v>
      </c>
      <c r="V17" s="12" t="s">
        <v>17</v>
      </c>
    </row>
    <row r="18" spans="1:22" s="1" customFormat="1" x14ac:dyDescent="0.25">
      <c r="D18" s="7" t="s">
        <v>29</v>
      </c>
      <c r="F18" s="35" t="s">
        <v>60</v>
      </c>
      <c r="H18" s="15" t="s">
        <v>23</v>
      </c>
      <c r="L18" s="10"/>
      <c r="M18" s="9"/>
      <c r="N18" s="5" t="s">
        <v>14</v>
      </c>
      <c r="O18" s="1">
        <v>20</v>
      </c>
      <c r="V18" s="27" t="s">
        <v>73</v>
      </c>
    </row>
    <row r="19" spans="1:22" s="1" customFormat="1" x14ac:dyDescent="0.25">
      <c r="D19" s="20" t="s">
        <v>49</v>
      </c>
      <c r="E19" s="1">
        <v>20</v>
      </c>
      <c r="H19" s="20" t="s">
        <v>46</v>
      </c>
      <c r="I19" s="1">
        <v>15</v>
      </c>
      <c r="L19" s="10"/>
      <c r="M19" s="9"/>
      <c r="N19" s="16" t="s">
        <v>15</v>
      </c>
      <c r="O19" s="1">
        <v>25</v>
      </c>
      <c r="V19" s="6" t="s">
        <v>36</v>
      </c>
    </row>
    <row r="20" spans="1:22" s="1" customFormat="1" x14ac:dyDescent="0.25">
      <c r="D20" s="20" t="s">
        <v>50</v>
      </c>
      <c r="H20" s="20" t="s">
        <v>47</v>
      </c>
      <c r="M20" s="9"/>
      <c r="N20" s="7" t="s">
        <v>41</v>
      </c>
      <c r="O20" s="1">
        <v>15</v>
      </c>
      <c r="V20" s="6" t="s">
        <v>43</v>
      </c>
    </row>
    <row r="21" spans="1:22" s="1" customFormat="1" x14ac:dyDescent="0.25">
      <c r="D21" s="6" t="s">
        <v>36</v>
      </c>
      <c r="E21" s="1">
        <v>20</v>
      </c>
      <c r="H21" s="33" t="s">
        <v>48</v>
      </c>
      <c r="I21" s="1">
        <v>15</v>
      </c>
      <c r="M21" s="9"/>
      <c r="N21" s="13" t="s">
        <v>25</v>
      </c>
      <c r="O21" s="1">
        <v>15</v>
      </c>
      <c r="V21" s="20" t="s">
        <v>69</v>
      </c>
    </row>
    <row r="22" spans="1:22" s="1" customFormat="1" x14ac:dyDescent="0.25">
      <c r="D22" s="6" t="s">
        <v>43</v>
      </c>
      <c r="E22" s="1">
        <v>25</v>
      </c>
      <c r="H22" s="6" t="s">
        <v>27</v>
      </c>
      <c r="I22" s="1">
        <v>25</v>
      </c>
      <c r="M22" s="9"/>
      <c r="O22" s="1">
        <f>SUM(O13:O21)</f>
        <v>120</v>
      </c>
      <c r="V22" s="17" t="s">
        <v>70</v>
      </c>
    </row>
    <row r="23" spans="1:22" s="1" customFormat="1" x14ac:dyDescent="0.25">
      <c r="D23" s="17" t="s">
        <v>24</v>
      </c>
      <c r="H23" s="6" t="s">
        <v>30</v>
      </c>
      <c r="M23" s="9"/>
      <c r="V23" s="13" t="s">
        <v>25</v>
      </c>
    </row>
    <row r="24" spans="1:22" s="1" customFormat="1" x14ac:dyDescent="0.25">
      <c r="E24" s="1">
        <f>SUM(E14:E23)</f>
        <v>135</v>
      </c>
      <c r="I24" s="1">
        <f>SUM(I14:I23)</f>
        <v>115</v>
      </c>
      <c r="M24" s="9"/>
      <c r="V24" s="7" t="s">
        <v>28</v>
      </c>
    </row>
    <row r="25" spans="1:22" s="1" customFormat="1" x14ac:dyDescent="0.25">
      <c r="M25" s="9"/>
    </row>
    <row r="26" spans="1:22" s="1" customFormat="1" x14ac:dyDescent="0.25">
      <c r="M26" s="9"/>
    </row>
    <row r="27" spans="1:22" s="1" customFormat="1" x14ac:dyDescent="0.25">
      <c r="F27" s="10"/>
      <c r="M27" s="9"/>
    </row>
    <row r="28" spans="1:22" s="1" customFormat="1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1"/>
    </row>
    <row r="29" spans="1:22" s="1" customForma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4"/>
      <c r="M29" s="29"/>
      <c r="N29" s="25"/>
      <c r="O29" s="22"/>
      <c r="P29" s="21"/>
    </row>
    <row r="30" spans="1:22" s="1" customFormat="1" x14ac:dyDescent="0.25">
      <c r="A30" s="22"/>
      <c r="B30" s="22"/>
      <c r="C30" s="22"/>
      <c r="D30" s="22"/>
      <c r="E30" s="22"/>
      <c r="F30" s="26"/>
      <c r="G30" s="22"/>
      <c r="H30" s="22"/>
      <c r="I30" s="22"/>
      <c r="J30" s="22"/>
      <c r="K30" s="22"/>
      <c r="L30" s="24"/>
      <c r="M30" s="29"/>
      <c r="N30" s="25"/>
      <c r="O30" s="22"/>
      <c r="P30" s="21"/>
    </row>
    <row r="31" spans="1:22" s="1" customFormat="1" x14ac:dyDescent="0.25">
      <c r="A31" s="3" t="s">
        <v>31</v>
      </c>
      <c r="B31" s="2" t="s">
        <v>0</v>
      </c>
      <c r="C31" s="2"/>
      <c r="D31" s="2" t="s">
        <v>1</v>
      </c>
      <c r="E31" s="2"/>
      <c r="F31" s="2" t="s">
        <v>2</v>
      </c>
      <c r="G31" s="2"/>
      <c r="H31" s="2" t="s">
        <v>71</v>
      </c>
      <c r="I31" s="2"/>
      <c r="J31" s="2" t="s">
        <v>4</v>
      </c>
      <c r="K31" s="2"/>
      <c r="L31" s="2" t="s">
        <v>5</v>
      </c>
      <c r="M31" s="2"/>
      <c r="N31" s="2" t="s">
        <v>6</v>
      </c>
      <c r="O31" s="2"/>
      <c r="P31" s="21"/>
    </row>
    <row r="32" spans="1:22" s="1" customFormat="1" ht="15.75" thickBot="1" x14ac:dyDescent="0.3">
      <c r="A32" s="67" t="s">
        <v>21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9"/>
      <c r="N32" s="19" t="s">
        <v>67</v>
      </c>
      <c r="P32" s="21"/>
    </row>
    <row r="33" spans="1:16" s="1" customFormat="1" ht="15.75" thickTop="1" x14ac:dyDescent="0.25">
      <c r="B33" s="3" t="s">
        <v>7</v>
      </c>
      <c r="C33" s="1">
        <v>10</v>
      </c>
      <c r="D33" s="12" t="s">
        <v>17</v>
      </c>
      <c r="E33" s="1">
        <v>60</v>
      </c>
      <c r="F33" s="3" t="s">
        <v>7</v>
      </c>
      <c r="G33" s="1">
        <v>10</v>
      </c>
      <c r="H33" s="69" t="s">
        <v>33</v>
      </c>
      <c r="I33" s="1">
        <v>60</v>
      </c>
      <c r="J33" s="3" t="s">
        <v>7</v>
      </c>
      <c r="K33" s="1">
        <v>10</v>
      </c>
      <c r="L33" s="19" t="s">
        <v>67</v>
      </c>
      <c r="M33" s="9"/>
      <c r="P33" s="21"/>
    </row>
    <row r="34" spans="1:16" s="1" customFormat="1" x14ac:dyDescent="0.25">
      <c r="B34" s="3" t="s">
        <v>8</v>
      </c>
      <c r="C34" s="1">
        <v>10</v>
      </c>
      <c r="D34" s="32" t="s">
        <v>38</v>
      </c>
      <c r="E34" s="1">
        <v>30</v>
      </c>
      <c r="F34" s="3" t="s">
        <v>8</v>
      </c>
      <c r="G34" s="1">
        <v>10</v>
      </c>
      <c r="H34" s="70"/>
      <c r="I34" s="1">
        <v>30</v>
      </c>
      <c r="J34" s="3" t="s">
        <v>8</v>
      </c>
      <c r="K34" s="1">
        <v>10</v>
      </c>
      <c r="M34" s="9"/>
      <c r="P34" s="21"/>
    </row>
    <row r="35" spans="1:16" s="1" customFormat="1" x14ac:dyDescent="0.25">
      <c r="B35" s="11" t="s">
        <v>11</v>
      </c>
      <c r="C35" s="1">
        <v>15</v>
      </c>
      <c r="F35" s="6" t="s">
        <v>72</v>
      </c>
      <c r="G35" s="1">
        <v>60</v>
      </c>
      <c r="H35" s="70"/>
      <c r="J35" s="11" t="s">
        <v>11</v>
      </c>
      <c r="K35" s="1">
        <v>15</v>
      </c>
      <c r="M35" s="9"/>
      <c r="P35" s="21"/>
    </row>
    <row r="36" spans="1:16" s="1" customFormat="1" x14ac:dyDescent="0.25">
      <c r="B36" s="8" t="s">
        <v>9</v>
      </c>
      <c r="C36" s="1">
        <v>10</v>
      </c>
      <c r="H36" s="70"/>
      <c r="J36" s="8" t="s">
        <v>9</v>
      </c>
      <c r="K36" s="1">
        <v>10</v>
      </c>
      <c r="M36" s="9"/>
      <c r="P36" s="21"/>
    </row>
    <row r="37" spans="1:16" s="1" customFormat="1" x14ac:dyDescent="0.25">
      <c r="B37" s="7" t="s">
        <v>13</v>
      </c>
      <c r="C37" s="1">
        <v>20</v>
      </c>
      <c r="H37" s="70"/>
      <c r="J37" s="5" t="s">
        <v>14</v>
      </c>
      <c r="K37" s="1">
        <v>20</v>
      </c>
      <c r="M37" s="9"/>
      <c r="P37" s="21"/>
    </row>
    <row r="38" spans="1:16" s="1" customFormat="1" x14ac:dyDescent="0.25">
      <c r="B38" s="14" t="s">
        <v>10</v>
      </c>
      <c r="C38" s="1">
        <v>20</v>
      </c>
      <c r="H38" s="70"/>
      <c r="J38" s="20" t="s">
        <v>37</v>
      </c>
      <c r="K38" s="1">
        <v>25</v>
      </c>
      <c r="M38" s="9"/>
      <c r="P38" s="21"/>
    </row>
    <row r="39" spans="1:16" s="1" customFormat="1" x14ac:dyDescent="0.25">
      <c r="B39" s="15" t="s">
        <v>23</v>
      </c>
      <c r="H39" s="70"/>
      <c r="J39" s="6" t="s">
        <v>36</v>
      </c>
      <c r="K39" s="1">
        <v>30</v>
      </c>
      <c r="M39" s="9"/>
      <c r="P39" s="21"/>
    </row>
    <row r="40" spans="1:16" s="1" customFormat="1" ht="15.75" thickBot="1" x14ac:dyDescent="0.3">
      <c r="B40" s="4" t="s">
        <v>12</v>
      </c>
      <c r="C40" s="1">
        <v>30</v>
      </c>
      <c r="H40" s="71"/>
      <c r="J40" s="6" t="s">
        <v>43</v>
      </c>
      <c r="M40" s="9"/>
      <c r="P40" s="21"/>
    </row>
    <row r="41" spans="1:16" s="1" customFormat="1" ht="15.75" thickTop="1" x14ac:dyDescent="0.25">
      <c r="B41" s="10"/>
      <c r="C41" s="1">
        <f>SUM(C33:C40)</f>
        <v>115</v>
      </c>
      <c r="G41" s="1">
        <f>SUM(G33:G40)</f>
        <v>80</v>
      </c>
      <c r="H41" s="10"/>
      <c r="J41" s="10"/>
      <c r="K41" s="1">
        <f>SUM(K33:K40)</f>
        <v>120</v>
      </c>
      <c r="M41" s="9"/>
      <c r="P41" s="21"/>
    </row>
    <row r="42" spans="1:16" s="1" customFormat="1" x14ac:dyDescent="0.25">
      <c r="A42" s="67" t="s">
        <v>22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9"/>
      <c r="P42" s="21"/>
    </row>
    <row r="43" spans="1:16" s="1" customFormat="1" x14ac:dyDescent="0.25">
      <c r="D43" s="3" t="s">
        <v>7</v>
      </c>
      <c r="E43" s="1">
        <v>10</v>
      </c>
      <c r="H43" s="21"/>
      <c r="M43" s="9"/>
      <c r="P43" s="21"/>
    </row>
    <row r="44" spans="1:16" s="1" customFormat="1" x14ac:dyDescent="0.25">
      <c r="D44" s="3" t="s">
        <v>8</v>
      </c>
      <c r="E44" s="1">
        <v>10</v>
      </c>
      <c r="H44" s="21"/>
      <c r="M44" s="9"/>
      <c r="P44" s="21"/>
    </row>
    <row r="45" spans="1:16" s="1" customFormat="1" x14ac:dyDescent="0.25">
      <c r="D45" s="7" t="s">
        <v>13</v>
      </c>
      <c r="E45" s="1">
        <v>25</v>
      </c>
      <c r="F45" s="10"/>
      <c r="H45" s="21"/>
      <c r="M45" s="9"/>
      <c r="P45" s="21"/>
    </row>
    <row r="46" spans="1:16" s="1" customFormat="1" x14ac:dyDescent="0.25">
      <c r="D46" s="7" t="s">
        <v>28</v>
      </c>
      <c r="E46" s="1">
        <v>25</v>
      </c>
      <c r="F46" s="10"/>
      <c r="H46" s="21"/>
      <c r="M46" s="9"/>
      <c r="P46" s="21"/>
    </row>
    <row r="47" spans="1:16" s="1" customFormat="1" x14ac:dyDescent="0.25">
      <c r="A47" s="22"/>
      <c r="B47" s="34" t="s">
        <v>51</v>
      </c>
      <c r="C47" s="23"/>
      <c r="D47" s="7" t="s">
        <v>29</v>
      </c>
      <c r="F47" s="34" t="s">
        <v>51</v>
      </c>
      <c r="G47" s="23"/>
      <c r="H47" s="21"/>
      <c r="J47" s="18"/>
      <c r="K47" s="23"/>
      <c r="L47" s="23"/>
      <c r="M47" s="23"/>
      <c r="N47" s="23"/>
      <c r="O47" s="23"/>
      <c r="P47" s="21"/>
    </row>
    <row r="48" spans="1:16" s="1" customFormat="1" x14ac:dyDescent="0.25">
      <c r="A48" s="22"/>
      <c r="B48" s="1" t="s">
        <v>54</v>
      </c>
      <c r="C48" s="22"/>
      <c r="D48" s="17" t="s">
        <v>24</v>
      </c>
      <c r="E48" s="1">
        <v>15</v>
      </c>
      <c r="F48" s="1" t="s">
        <v>52</v>
      </c>
      <c r="G48" s="22"/>
      <c r="H48" s="30"/>
      <c r="K48" s="22"/>
      <c r="L48" s="24"/>
      <c r="M48" s="29"/>
      <c r="N48" s="25"/>
      <c r="O48" s="22"/>
      <c r="P48" s="21"/>
    </row>
    <row r="49" spans="1:16" s="1" customFormat="1" x14ac:dyDescent="0.25">
      <c r="A49" s="22"/>
      <c r="B49" s="1" t="s">
        <v>53</v>
      </c>
      <c r="C49" s="22"/>
      <c r="D49" s="17" t="s">
        <v>19</v>
      </c>
      <c r="E49" s="1">
        <v>15</v>
      </c>
      <c r="F49" s="1" t="s">
        <v>56</v>
      </c>
      <c r="G49" s="22"/>
      <c r="H49" s="30"/>
      <c r="K49" s="22"/>
      <c r="L49" s="24"/>
      <c r="M49" s="29"/>
      <c r="N49" s="25"/>
      <c r="O49" s="22"/>
      <c r="P49" s="21"/>
    </row>
    <row r="50" spans="1:16" s="1" customFormat="1" x14ac:dyDescent="0.25">
      <c r="A50" s="21"/>
      <c r="B50" s="1" t="s">
        <v>55</v>
      </c>
      <c r="C50" s="21"/>
      <c r="G50" s="21"/>
      <c r="K50" s="21"/>
      <c r="L50" s="21"/>
      <c r="M50" s="29"/>
      <c r="N50" s="21"/>
      <c r="O50" s="21"/>
      <c r="P50" s="21"/>
    </row>
    <row r="51" spans="1:16" s="1" customFormat="1" x14ac:dyDescent="0.25">
      <c r="A51" s="3" t="s">
        <v>32</v>
      </c>
      <c r="B51" s="2" t="s">
        <v>0</v>
      </c>
      <c r="C51" s="2"/>
      <c r="D51" s="2" t="s">
        <v>1</v>
      </c>
      <c r="E51" s="2"/>
      <c r="F51" s="2" t="s">
        <v>2</v>
      </c>
      <c r="G51" s="2"/>
      <c r="H51" s="2" t="s">
        <v>3</v>
      </c>
      <c r="I51" s="2"/>
      <c r="J51" s="2" t="s">
        <v>4</v>
      </c>
      <c r="K51" s="2"/>
      <c r="L51" s="2" t="s">
        <v>5</v>
      </c>
      <c r="M51" s="2"/>
      <c r="N51" s="2" t="s">
        <v>6</v>
      </c>
      <c r="O51" s="21"/>
      <c r="P51" s="21"/>
    </row>
    <row r="52" spans="1:16" s="1" customFormat="1" x14ac:dyDescent="0.25">
      <c r="A52" s="67" t="s">
        <v>21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9"/>
      <c r="N52" s="72" t="s">
        <v>33</v>
      </c>
      <c r="O52" s="21"/>
      <c r="P52" s="21"/>
    </row>
    <row r="53" spans="1:16" s="1" customFormat="1" x14ac:dyDescent="0.25">
      <c r="B53" s="3" t="s">
        <v>7</v>
      </c>
      <c r="C53" s="1">
        <v>10</v>
      </c>
      <c r="D53" s="12" t="s">
        <v>17</v>
      </c>
      <c r="E53" s="1">
        <v>60</v>
      </c>
      <c r="F53" s="3" t="s">
        <v>7</v>
      </c>
      <c r="G53" s="1">
        <v>10</v>
      </c>
      <c r="H53" s="12" t="s">
        <v>17</v>
      </c>
      <c r="I53" s="1">
        <v>60</v>
      </c>
      <c r="J53" s="3" t="s">
        <v>7</v>
      </c>
      <c r="K53" s="1">
        <v>10</v>
      </c>
      <c r="L53" s="19" t="s">
        <v>16</v>
      </c>
      <c r="M53" s="9" t="s">
        <v>45</v>
      </c>
      <c r="N53" s="73"/>
      <c r="O53" s="21"/>
      <c r="P53" s="21"/>
    </row>
    <row r="54" spans="1:16" s="1" customFormat="1" x14ac:dyDescent="0.25">
      <c r="B54" s="3" t="s">
        <v>8</v>
      </c>
      <c r="C54" s="1">
        <v>10</v>
      </c>
      <c r="D54" s="27" t="s">
        <v>38</v>
      </c>
      <c r="E54" s="1">
        <v>30</v>
      </c>
      <c r="F54" s="3" t="s">
        <v>8</v>
      </c>
      <c r="G54" s="1">
        <v>10</v>
      </c>
      <c r="H54" s="27" t="s">
        <v>34</v>
      </c>
      <c r="I54" s="29">
        <v>30</v>
      </c>
      <c r="J54" s="3" t="s">
        <v>8</v>
      </c>
      <c r="K54" s="1">
        <v>10</v>
      </c>
      <c r="M54" s="9"/>
      <c r="N54" s="73"/>
    </row>
    <row r="55" spans="1:16" s="1" customFormat="1" x14ac:dyDescent="0.25">
      <c r="B55" s="11" t="s">
        <v>11</v>
      </c>
      <c r="C55" s="1">
        <v>15</v>
      </c>
      <c r="D55" s="28" t="s">
        <v>39</v>
      </c>
      <c r="F55" s="11" t="s">
        <v>11</v>
      </c>
      <c r="G55" s="1">
        <v>15</v>
      </c>
      <c r="H55" s="31" t="s">
        <v>40</v>
      </c>
      <c r="I55" s="21"/>
      <c r="J55" s="11" t="s">
        <v>11</v>
      </c>
      <c r="K55" s="1">
        <v>15</v>
      </c>
      <c r="M55" s="9"/>
      <c r="N55" s="73"/>
    </row>
    <row r="56" spans="1:16" s="1" customFormat="1" x14ac:dyDescent="0.25">
      <c r="B56" s="8" t="s">
        <v>9</v>
      </c>
      <c r="C56" s="1">
        <v>10</v>
      </c>
      <c r="F56" s="8" t="s">
        <v>9</v>
      </c>
      <c r="G56" s="1">
        <v>10</v>
      </c>
      <c r="J56" s="8" t="s">
        <v>9</v>
      </c>
      <c r="K56" s="1">
        <v>10</v>
      </c>
      <c r="M56" s="9"/>
      <c r="N56" s="73"/>
    </row>
    <row r="57" spans="1:16" s="1" customFormat="1" x14ac:dyDescent="0.25">
      <c r="B57" s="7" t="s">
        <v>13</v>
      </c>
      <c r="C57" s="1">
        <v>20</v>
      </c>
      <c r="F57" s="5" t="s">
        <v>14</v>
      </c>
      <c r="G57" s="1">
        <v>20</v>
      </c>
      <c r="J57" s="5" t="s">
        <v>14</v>
      </c>
      <c r="K57" s="1">
        <v>20</v>
      </c>
      <c r="M57" s="9"/>
      <c r="N57" s="73"/>
    </row>
    <row r="58" spans="1:16" s="1" customFormat="1" x14ac:dyDescent="0.25">
      <c r="B58" s="14" t="s">
        <v>10</v>
      </c>
      <c r="C58" s="1">
        <v>20</v>
      </c>
      <c r="F58" s="16" t="s">
        <v>15</v>
      </c>
      <c r="G58" s="1">
        <v>25</v>
      </c>
      <c r="J58" s="20" t="s">
        <v>37</v>
      </c>
      <c r="K58" s="1">
        <v>25</v>
      </c>
      <c r="M58" s="9"/>
      <c r="N58" s="73"/>
    </row>
    <row r="59" spans="1:16" s="1" customFormat="1" x14ac:dyDescent="0.25">
      <c r="B59" s="15" t="s">
        <v>23</v>
      </c>
      <c r="F59" s="7" t="s">
        <v>41</v>
      </c>
      <c r="G59" s="1">
        <v>15</v>
      </c>
      <c r="J59" s="6" t="s">
        <v>36</v>
      </c>
      <c r="K59" s="1">
        <v>30</v>
      </c>
      <c r="M59" s="9"/>
      <c r="N59" s="73"/>
    </row>
    <row r="60" spans="1:16" s="1" customFormat="1" x14ac:dyDescent="0.25">
      <c r="B60" s="4" t="s">
        <v>12</v>
      </c>
      <c r="C60" s="1">
        <v>30</v>
      </c>
      <c r="F60" s="13" t="s">
        <v>25</v>
      </c>
      <c r="G60" s="1">
        <v>15</v>
      </c>
      <c r="J60" s="6" t="s">
        <v>43</v>
      </c>
      <c r="M60" s="9"/>
      <c r="N60" s="73"/>
    </row>
    <row r="61" spans="1:16" s="1" customFormat="1" x14ac:dyDescent="0.25">
      <c r="B61" s="10"/>
      <c r="C61" s="1">
        <f>SUM(C53:C60)</f>
        <v>115</v>
      </c>
      <c r="G61" s="1">
        <f>SUM(G53:G60)</f>
        <v>120</v>
      </c>
      <c r="H61" s="10"/>
      <c r="J61" s="10"/>
      <c r="K61" s="1">
        <f>SUM(K53:K60)</f>
        <v>120</v>
      </c>
      <c r="M61" s="9"/>
      <c r="N61" s="73"/>
    </row>
    <row r="62" spans="1:16" s="1" customFormat="1" x14ac:dyDescent="0.25">
      <c r="A62" s="67" t="s">
        <v>22</v>
      </c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9"/>
      <c r="N62" s="73"/>
    </row>
    <row r="63" spans="1:16" s="1" customFormat="1" x14ac:dyDescent="0.25">
      <c r="D63" s="3" t="s">
        <v>7</v>
      </c>
      <c r="E63" s="1">
        <v>10</v>
      </c>
      <c r="H63" s="3" t="s">
        <v>7</v>
      </c>
      <c r="I63" s="1">
        <v>10</v>
      </c>
      <c r="M63" s="9"/>
    </row>
    <row r="64" spans="1:16" s="1" customFormat="1" x14ac:dyDescent="0.25">
      <c r="D64" s="3" t="s">
        <v>8</v>
      </c>
      <c r="E64" s="1">
        <v>10</v>
      </c>
      <c r="H64" s="3" t="s">
        <v>8</v>
      </c>
      <c r="I64" s="1">
        <v>10</v>
      </c>
      <c r="M64" s="9"/>
    </row>
    <row r="65" spans="1:14" s="1" customFormat="1" x14ac:dyDescent="0.25">
      <c r="D65" s="7" t="s">
        <v>13</v>
      </c>
      <c r="E65" s="1">
        <v>25</v>
      </c>
      <c r="F65" s="10"/>
      <c r="H65" s="7" t="s">
        <v>13</v>
      </c>
      <c r="I65" s="1">
        <v>20</v>
      </c>
      <c r="M65" s="9"/>
    </row>
    <row r="66" spans="1:14" s="1" customFormat="1" x14ac:dyDescent="0.25">
      <c r="D66" s="7" t="s">
        <v>28</v>
      </c>
      <c r="E66" s="1">
        <v>25</v>
      </c>
      <c r="F66" s="10"/>
      <c r="H66" s="14" t="s">
        <v>10</v>
      </c>
      <c r="I66" s="1">
        <v>20</v>
      </c>
      <c r="M66" s="9"/>
    </row>
    <row r="67" spans="1:14" s="1" customFormat="1" x14ac:dyDescent="0.25">
      <c r="A67" s="22"/>
      <c r="B67" s="23"/>
      <c r="C67" s="23"/>
      <c r="D67" s="7" t="s">
        <v>29</v>
      </c>
      <c r="F67" s="23"/>
      <c r="G67" s="23"/>
      <c r="H67" s="15" t="s">
        <v>23</v>
      </c>
      <c r="J67" s="23"/>
      <c r="K67" s="23"/>
      <c r="L67" s="23"/>
      <c r="M67" s="23"/>
      <c r="N67" s="23"/>
    </row>
    <row r="68" spans="1:14" s="1" customFormat="1" x14ac:dyDescent="0.25">
      <c r="A68" s="22"/>
      <c r="B68" s="34" t="s">
        <v>51</v>
      </c>
      <c r="C68" s="22"/>
      <c r="D68" s="17" t="s">
        <v>24</v>
      </c>
      <c r="E68" s="1">
        <v>15</v>
      </c>
      <c r="F68" s="34" t="s">
        <v>51</v>
      </c>
      <c r="G68" s="22"/>
      <c r="H68" s="6" t="s">
        <v>27</v>
      </c>
      <c r="I68" s="1">
        <v>15</v>
      </c>
      <c r="J68" s="22"/>
      <c r="K68" s="22"/>
      <c r="L68" s="24"/>
      <c r="M68" s="29"/>
      <c r="N68" s="25"/>
    </row>
    <row r="69" spans="1:14" s="1" customFormat="1" x14ac:dyDescent="0.25">
      <c r="A69" s="22"/>
      <c r="B69" s="1" t="s">
        <v>52</v>
      </c>
      <c r="C69" s="22"/>
      <c r="D69" s="17" t="s">
        <v>19</v>
      </c>
      <c r="E69" s="1">
        <v>15</v>
      </c>
      <c r="F69" s="1" t="s">
        <v>58</v>
      </c>
      <c r="G69" s="22"/>
      <c r="H69" s="6" t="s">
        <v>30</v>
      </c>
      <c r="I69" s="1">
        <v>15</v>
      </c>
      <c r="J69" s="22"/>
      <c r="K69" s="22"/>
      <c r="L69" s="24"/>
      <c r="M69" s="29"/>
      <c r="N69" s="25"/>
    </row>
    <row r="70" spans="1:14" s="1" customFormat="1" x14ac:dyDescent="0.25">
      <c r="B70" s="1" t="s">
        <v>57</v>
      </c>
      <c r="F70" s="1" t="s">
        <v>59</v>
      </c>
      <c r="M70" s="9"/>
    </row>
    <row r="71" spans="1:14" s="1" customFormat="1" x14ac:dyDescent="0.25">
      <c r="M71" s="9"/>
    </row>
    <row r="72" spans="1:14" s="1" customFormat="1" x14ac:dyDescent="0.25">
      <c r="M72" s="9"/>
    </row>
    <row r="73" spans="1:14" s="1" customFormat="1" x14ac:dyDescent="0.25">
      <c r="M73" s="9"/>
    </row>
    <row r="74" spans="1:14" s="1" customFormat="1" x14ac:dyDescent="0.25">
      <c r="M74" s="9"/>
    </row>
    <row r="75" spans="1:14" s="1" customFormat="1" x14ac:dyDescent="0.25">
      <c r="M75" s="9"/>
    </row>
    <row r="76" spans="1:14" s="1" customFormat="1" x14ac:dyDescent="0.25">
      <c r="M76" s="9"/>
    </row>
    <row r="77" spans="1:14" s="1" customFormat="1" x14ac:dyDescent="0.25">
      <c r="M77" s="9"/>
    </row>
    <row r="78" spans="1:14" s="1" customFormat="1" x14ac:dyDescent="0.25">
      <c r="M78" s="9"/>
    </row>
    <row r="79" spans="1:14" s="1" customFormat="1" x14ac:dyDescent="0.25">
      <c r="M79" s="9"/>
    </row>
    <row r="80" spans="1:14" s="1" customFormat="1" x14ac:dyDescent="0.25">
      <c r="M80" s="9"/>
    </row>
    <row r="81" spans="13:13" s="1" customFormat="1" x14ac:dyDescent="0.25">
      <c r="M81" s="9"/>
    </row>
    <row r="82" spans="13:13" s="1" customFormat="1" x14ac:dyDescent="0.25">
      <c r="M82" s="9"/>
    </row>
    <row r="83" spans="13:13" s="1" customFormat="1" x14ac:dyDescent="0.25">
      <c r="M83" s="9"/>
    </row>
    <row r="84" spans="13:13" s="1" customFormat="1" x14ac:dyDescent="0.25">
      <c r="M84" s="9"/>
    </row>
    <row r="85" spans="13:13" s="1" customFormat="1" x14ac:dyDescent="0.25">
      <c r="M85" s="9"/>
    </row>
    <row r="86" spans="13:13" s="1" customFormat="1" x14ac:dyDescent="0.25">
      <c r="M86" s="9"/>
    </row>
    <row r="87" spans="13:13" s="1" customFormat="1" x14ac:dyDescent="0.25">
      <c r="M87" s="9"/>
    </row>
    <row r="88" spans="13:13" s="1" customFormat="1" x14ac:dyDescent="0.25">
      <c r="M88" s="9"/>
    </row>
    <row r="89" spans="13:13" s="1" customFormat="1" x14ac:dyDescent="0.25">
      <c r="M89" s="9"/>
    </row>
    <row r="90" spans="13:13" s="1" customFormat="1" x14ac:dyDescent="0.25">
      <c r="M90" s="9"/>
    </row>
    <row r="91" spans="13:13" s="1" customFormat="1" x14ac:dyDescent="0.25">
      <c r="M91" s="9"/>
    </row>
    <row r="92" spans="13:13" s="1" customFormat="1" x14ac:dyDescent="0.25">
      <c r="M92" s="9"/>
    </row>
    <row r="93" spans="13:13" s="1" customFormat="1" x14ac:dyDescent="0.25">
      <c r="M93" s="9"/>
    </row>
    <row r="94" spans="13:13" s="1" customFormat="1" x14ac:dyDescent="0.25">
      <c r="M94" s="9"/>
    </row>
    <row r="95" spans="13:13" s="1" customFormat="1" x14ac:dyDescent="0.25">
      <c r="M95" s="9"/>
    </row>
    <row r="96" spans="13:13" s="1" customFormat="1" x14ac:dyDescent="0.25">
      <c r="M96" s="9"/>
    </row>
    <row r="97" spans="13:13" s="1" customFormat="1" x14ac:dyDescent="0.25">
      <c r="M97" s="9"/>
    </row>
  </sheetData>
  <mergeCells count="8">
    <mergeCell ref="A3:L3"/>
    <mergeCell ref="A52:L52"/>
    <mergeCell ref="H33:H40"/>
    <mergeCell ref="N52:N62"/>
    <mergeCell ref="A62:L62"/>
    <mergeCell ref="A32:L32"/>
    <mergeCell ref="A42:L42"/>
    <mergeCell ref="A13:L13"/>
  </mergeCells>
  <pageMargins left="0.70866141732283472" right="0.70866141732283472" top="0.74803149606299213" bottom="0.74803149606299213" header="0.31496062992125984" footer="0.31496062992125984"/>
  <pageSetup paperSize="9" scale="65" orientation="landscape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K7" sqref="K7"/>
    </sheetView>
  </sheetViews>
  <sheetFormatPr baseColWidth="10" defaultColWidth="12.5703125" defaultRowHeight="15.75" customHeight="1" x14ac:dyDescent="0.2"/>
  <cols>
    <col min="1" max="1" width="10" style="37" customWidth="1"/>
    <col min="2" max="2" width="20.28515625" style="37" customWidth="1"/>
    <col min="3" max="3" width="8.28515625" style="37" customWidth="1"/>
    <col min="4" max="4" width="7.85546875" style="37" customWidth="1"/>
    <col min="5" max="5" width="6.28515625" style="37" customWidth="1"/>
    <col min="6" max="6" width="7.28515625" style="37" customWidth="1"/>
    <col min="7" max="7" width="8.7109375" style="37" customWidth="1"/>
    <col min="8" max="8" width="5.5703125" style="37" customWidth="1"/>
    <col min="9" max="9" width="7.42578125" style="37" customWidth="1"/>
    <col min="10" max="10" width="11" style="37" customWidth="1"/>
    <col min="11" max="11" width="12.7109375" style="37" customWidth="1"/>
    <col min="12" max="12" width="11.85546875" style="37" customWidth="1"/>
    <col min="13" max="13" width="11" style="37" customWidth="1"/>
    <col min="14" max="14" width="10.28515625" style="37" customWidth="1"/>
    <col min="15" max="15" width="11.42578125" style="37" customWidth="1"/>
    <col min="16" max="16" width="11.85546875" style="37" customWidth="1"/>
    <col min="17" max="17" width="11.42578125" style="37" customWidth="1"/>
    <col min="18" max="18" width="12.42578125" style="37" customWidth="1"/>
    <col min="19" max="26" width="10" style="37" customWidth="1"/>
    <col min="27" max="16384" width="12.5703125" style="37"/>
  </cols>
  <sheetData>
    <row r="1" spans="1:26" ht="15" customHeight="1" x14ac:dyDescent="0.2">
      <c r="A1" s="38"/>
      <c r="B1" s="74" t="s">
        <v>106</v>
      </c>
      <c r="C1" s="75"/>
      <c r="D1" s="75"/>
      <c r="E1" s="75"/>
      <c r="F1" s="75"/>
      <c r="G1" s="75"/>
      <c r="H1" s="38"/>
      <c r="I1" s="76" t="s">
        <v>105</v>
      </c>
      <c r="J1" s="77"/>
      <c r="K1" s="77"/>
      <c r="L1" s="77"/>
      <c r="M1" s="77"/>
      <c r="N1" s="77"/>
      <c r="O1" s="77"/>
      <c r="P1" s="7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5" customHeight="1" x14ac:dyDescent="0.2">
      <c r="A2" s="38"/>
      <c r="B2" s="75"/>
      <c r="C2" s="75"/>
      <c r="D2" s="75"/>
      <c r="E2" s="75"/>
      <c r="F2" s="75"/>
      <c r="G2" s="75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" customHeight="1" x14ac:dyDescent="0.25">
      <c r="A3" s="38"/>
      <c r="B3" s="53"/>
      <c r="C3" s="53"/>
      <c r="D3" s="53"/>
      <c r="E3" s="55" t="s">
        <v>104</v>
      </c>
      <c r="F3" s="54"/>
      <c r="G3" s="53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5" customHeight="1" x14ac:dyDescent="0.2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5" customHeight="1" x14ac:dyDescent="0.2">
      <c r="A5" s="38"/>
      <c r="B5" s="38"/>
      <c r="C5" s="79" t="s">
        <v>103</v>
      </c>
      <c r="D5" s="78"/>
      <c r="E5" s="80" t="s">
        <v>102</v>
      </c>
      <c r="F5" s="78"/>
      <c r="G5" s="52"/>
      <c r="H5" s="81" t="s">
        <v>101</v>
      </c>
      <c r="I5" s="77"/>
      <c r="J5" s="78"/>
      <c r="K5" s="82" t="s">
        <v>100</v>
      </c>
      <c r="L5" s="77"/>
      <c r="M5" s="77"/>
      <c r="N5" s="77"/>
      <c r="O5" s="77"/>
      <c r="P5" s="77"/>
      <c r="Q5" s="77"/>
      <c r="R5" s="78"/>
      <c r="S5" s="38"/>
      <c r="T5" s="38"/>
      <c r="U5" s="38"/>
      <c r="V5" s="38"/>
      <c r="W5" s="38"/>
      <c r="X5" s="38"/>
      <c r="Y5" s="38"/>
      <c r="Z5" s="38"/>
    </row>
    <row r="6" spans="1:26" ht="51" customHeight="1" x14ac:dyDescent="0.2">
      <c r="A6" s="45"/>
      <c r="B6" s="51" t="s">
        <v>99</v>
      </c>
      <c r="C6" s="50" t="s">
        <v>98</v>
      </c>
      <c r="D6" s="50" t="s">
        <v>97</v>
      </c>
      <c r="E6" s="49" t="s">
        <v>96</v>
      </c>
      <c r="F6" s="49" t="s">
        <v>95</v>
      </c>
      <c r="G6" s="48" t="s">
        <v>94</v>
      </c>
      <c r="H6" s="47" t="s">
        <v>93</v>
      </c>
      <c r="I6" s="47" t="s">
        <v>92</v>
      </c>
      <c r="J6" s="47" t="s">
        <v>91</v>
      </c>
      <c r="K6" s="46" t="s">
        <v>90</v>
      </c>
      <c r="L6" s="46" t="s">
        <v>89</v>
      </c>
      <c r="M6" s="46" t="s">
        <v>88</v>
      </c>
      <c r="N6" s="46" t="s">
        <v>87</v>
      </c>
      <c r="O6" s="46" t="s">
        <v>86</v>
      </c>
      <c r="P6" s="46" t="s">
        <v>85</v>
      </c>
      <c r="Q6" s="46" t="s">
        <v>84</v>
      </c>
      <c r="R6" s="46" t="s">
        <v>83</v>
      </c>
      <c r="S6" s="45"/>
      <c r="T6" s="45"/>
      <c r="U6" s="45"/>
      <c r="V6" s="45"/>
      <c r="W6" s="45"/>
      <c r="X6" s="45"/>
      <c r="Y6" s="45"/>
      <c r="Z6" s="45"/>
    </row>
    <row r="7" spans="1:26" ht="15" customHeight="1" x14ac:dyDescent="0.2">
      <c r="A7" s="38"/>
      <c r="B7" s="44" t="s">
        <v>82</v>
      </c>
      <c r="C7" s="43">
        <v>4</v>
      </c>
      <c r="D7" s="43">
        <v>4</v>
      </c>
      <c r="E7" s="42">
        <v>50</v>
      </c>
      <c r="F7" s="42">
        <v>20</v>
      </c>
      <c r="G7" s="41">
        <f t="shared" ref="G7:G50" si="0">IFERROR((E7*F7)/(C7+D7),0)</f>
        <v>125</v>
      </c>
      <c r="H7" s="40">
        <v>2</v>
      </c>
      <c r="I7" s="40">
        <v>10</v>
      </c>
      <c r="J7" s="40">
        <f t="shared" ref="J7:J50" si="1">H7*I7</f>
        <v>20</v>
      </c>
      <c r="K7" s="39">
        <f t="shared" ref="K7:K50" si="2">IFERROR((19.243*LN(G7)-5.029)*J7,0)</f>
        <v>1757.6448249381635</v>
      </c>
      <c r="L7" s="39">
        <f t="shared" ref="L7:L50" si="3">IFERROR((7.0421*LN(G7)-15.255)*J7,0)</f>
        <v>374.92936338913069</v>
      </c>
      <c r="M7" s="39">
        <f t="shared" ref="M7:M50" si="4">(0.018*G7-0.844)*J7</f>
        <v>28.120000000000005</v>
      </c>
      <c r="N7" s="39">
        <f t="shared" ref="N7:N50" si="5">(0.001*G7-0.046)*J7</f>
        <v>1.58</v>
      </c>
      <c r="O7" s="39">
        <f t="shared" ref="O7:O50" si="6">IFERROR((1.321*LN(G7)-0.629)*J7,0)</f>
        <v>114.98404893952682</v>
      </c>
      <c r="P7" s="39">
        <f t="shared" ref="P7:P50" si="7">IFERROR((0.212*LN(G7)-0.23)*J7,0)</f>
        <v>15.872050246161757</v>
      </c>
      <c r="Q7" s="39">
        <f t="shared" ref="Q7:Q50" si="8">IFERROR((1.157*LN(G7)-0.418)*J7,0)</f>
        <v>103.36717988117526</v>
      </c>
      <c r="R7" s="39">
        <f t="shared" ref="R7:R50" si="9">IFERROR((0.1041*LN(G7)-0.096)*J7,0)</f>
        <v>8.1325492010633926</v>
      </c>
      <c r="S7" s="38"/>
      <c r="T7" s="38"/>
      <c r="U7" s="38"/>
      <c r="V7" s="38"/>
      <c r="W7" s="38"/>
      <c r="X7" s="38"/>
      <c r="Y7" s="38"/>
      <c r="Z7" s="38"/>
    </row>
    <row r="8" spans="1:26" ht="15" customHeight="1" x14ac:dyDescent="0.2">
      <c r="A8" s="38"/>
      <c r="B8" s="44" t="s">
        <v>81</v>
      </c>
      <c r="C8" s="43">
        <v>11</v>
      </c>
      <c r="D8" s="43">
        <v>11</v>
      </c>
      <c r="E8" s="42">
        <v>90</v>
      </c>
      <c r="F8" s="42">
        <v>50</v>
      </c>
      <c r="G8" s="41">
        <f t="shared" si="0"/>
        <v>204.54545454545453</v>
      </c>
      <c r="H8" s="40">
        <v>2</v>
      </c>
      <c r="I8" s="40">
        <v>30</v>
      </c>
      <c r="J8" s="40">
        <f t="shared" si="1"/>
        <v>60</v>
      </c>
      <c r="K8" s="39">
        <f t="shared" si="2"/>
        <v>5841.5379749787026</v>
      </c>
      <c r="L8" s="39">
        <f t="shared" si="3"/>
        <v>1332.8722095098224</v>
      </c>
      <c r="M8" s="39">
        <f t="shared" si="4"/>
        <v>170.26909090909089</v>
      </c>
      <c r="N8" s="39">
        <f t="shared" si="5"/>
        <v>9.5127272727272718</v>
      </c>
      <c r="O8" s="39">
        <f t="shared" si="6"/>
        <v>383.98583302743151</v>
      </c>
      <c r="P8" s="39">
        <f t="shared" si="7"/>
        <v>53.880451628929208</v>
      </c>
      <c r="Q8" s="39">
        <f t="shared" si="8"/>
        <v>344.2892572390146</v>
      </c>
      <c r="R8" s="39">
        <f t="shared" si="9"/>
        <v>27.473655729110995</v>
      </c>
      <c r="S8" s="38"/>
      <c r="T8" s="38"/>
      <c r="U8" s="38"/>
      <c r="V8" s="38"/>
      <c r="W8" s="38"/>
      <c r="X8" s="38"/>
      <c r="Y8" s="38"/>
      <c r="Z8" s="38"/>
    </row>
    <row r="9" spans="1:26" ht="15" customHeight="1" x14ac:dyDescent="0.2">
      <c r="A9" s="38"/>
      <c r="B9" s="44" t="s">
        <v>80</v>
      </c>
      <c r="C9" s="43">
        <v>7</v>
      </c>
      <c r="D9" s="43">
        <v>7</v>
      </c>
      <c r="E9" s="42">
        <v>40</v>
      </c>
      <c r="F9" s="42">
        <v>30</v>
      </c>
      <c r="G9" s="41">
        <f t="shared" si="0"/>
        <v>85.714285714285708</v>
      </c>
      <c r="H9" s="40">
        <v>3</v>
      </c>
      <c r="I9" s="40">
        <v>4</v>
      </c>
      <c r="J9" s="40">
        <f t="shared" si="1"/>
        <v>12</v>
      </c>
      <c r="K9" s="39">
        <f t="shared" si="2"/>
        <v>967.46362028463489</v>
      </c>
      <c r="L9" s="39">
        <f t="shared" si="3"/>
        <v>193.07429357202238</v>
      </c>
      <c r="M9" s="39">
        <f t="shared" si="4"/>
        <v>8.3862857142857123</v>
      </c>
      <c r="N9" s="39">
        <f t="shared" si="5"/>
        <v>0.47657142857142859</v>
      </c>
      <c r="O9" s="39">
        <f t="shared" si="6"/>
        <v>63.009561211661527</v>
      </c>
      <c r="P9" s="39">
        <f t="shared" si="7"/>
        <v>8.5633936236731589</v>
      </c>
      <c r="Q9" s="39">
        <f t="shared" si="8"/>
        <v>56.781954823537006</v>
      </c>
      <c r="R9" s="39">
        <f t="shared" si="9"/>
        <v>4.4082135670961122</v>
      </c>
      <c r="S9" s="38"/>
      <c r="T9" s="38"/>
      <c r="U9" s="38"/>
      <c r="V9" s="38"/>
      <c r="W9" s="38"/>
      <c r="X9" s="38"/>
      <c r="Y9" s="38"/>
      <c r="Z9" s="38"/>
    </row>
    <row r="10" spans="1:26" ht="15" customHeight="1" x14ac:dyDescent="0.2">
      <c r="A10" s="38"/>
      <c r="B10" s="44" t="s">
        <v>79</v>
      </c>
      <c r="C10" s="43">
        <v>4</v>
      </c>
      <c r="D10" s="43">
        <v>2</v>
      </c>
      <c r="E10" s="42">
        <v>10</v>
      </c>
      <c r="F10" s="42">
        <v>10</v>
      </c>
      <c r="G10" s="41">
        <f t="shared" si="0"/>
        <v>16.666666666666668</v>
      </c>
      <c r="H10" s="40">
        <v>3</v>
      </c>
      <c r="I10" s="40">
        <v>4</v>
      </c>
      <c r="J10" s="40">
        <f t="shared" si="1"/>
        <v>12</v>
      </c>
      <c r="K10" s="39">
        <f t="shared" si="2"/>
        <v>589.31354907136051</v>
      </c>
      <c r="L10" s="39">
        <f t="shared" si="3"/>
        <v>54.687835301950209</v>
      </c>
      <c r="M10" s="39">
        <f t="shared" si="4"/>
        <v>-6.5280000000000005</v>
      </c>
      <c r="N10" s="39">
        <f t="shared" si="5"/>
        <v>-0.35199999999999998</v>
      </c>
      <c r="O10" s="39">
        <f t="shared" si="6"/>
        <v>37.050186682080096</v>
      </c>
      <c r="P10" s="39">
        <f t="shared" si="7"/>
        <v>4.397316863437533</v>
      </c>
      <c r="Q10" s="39">
        <f t="shared" si="8"/>
        <v>34.045394391496345</v>
      </c>
      <c r="R10" s="39">
        <f t="shared" si="9"/>
        <v>2.3625126673766377</v>
      </c>
      <c r="S10" s="38"/>
      <c r="T10" s="38"/>
      <c r="U10" s="38"/>
      <c r="V10" s="38"/>
      <c r="W10" s="38"/>
      <c r="X10" s="38"/>
      <c r="Y10" s="38"/>
      <c r="Z10" s="38"/>
    </row>
    <row r="11" spans="1:26" ht="15" customHeight="1" x14ac:dyDescent="0.2">
      <c r="A11" s="38"/>
      <c r="B11" s="44" t="s">
        <v>78</v>
      </c>
      <c r="C11" s="43">
        <v>3</v>
      </c>
      <c r="D11" s="43">
        <v>1</v>
      </c>
      <c r="E11" s="42">
        <v>8</v>
      </c>
      <c r="F11" s="42">
        <v>8</v>
      </c>
      <c r="G11" s="41">
        <f t="shared" si="0"/>
        <v>16</v>
      </c>
      <c r="H11" s="40">
        <v>3</v>
      </c>
      <c r="I11" s="40">
        <v>3</v>
      </c>
      <c r="J11" s="40">
        <f t="shared" si="1"/>
        <v>9</v>
      </c>
      <c r="K11" s="39">
        <f t="shared" si="2"/>
        <v>434.91532303854092</v>
      </c>
      <c r="L11" s="39">
        <f t="shared" si="3"/>
        <v>38.428623367962849</v>
      </c>
      <c r="M11" s="39">
        <f t="shared" si="4"/>
        <v>-5.0040000000000004</v>
      </c>
      <c r="N11" s="39">
        <f t="shared" si="5"/>
        <v>-0.27</v>
      </c>
      <c r="O11" s="39">
        <f t="shared" si="6"/>
        <v>27.302307318708756</v>
      </c>
      <c r="P11" s="39">
        <f t="shared" si="7"/>
        <v>3.2200992820335022</v>
      </c>
      <c r="Q11" s="39">
        <f t="shared" si="8"/>
        <v>25.108966364682843</v>
      </c>
      <c r="R11" s="39">
        <f t="shared" si="9"/>
        <v>1.7336383738664509</v>
      </c>
      <c r="S11" s="38"/>
      <c r="T11" s="38"/>
      <c r="U11" s="38"/>
      <c r="V11" s="38"/>
      <c r="W11" s="38"/>
      <c r="X11" s="38"/>
      <c r="Y11" s="38"/>
      <c r="Z11" s="38"/>
    </row>
    <row r="12" spans="1:26" ht="15" customHeight="1" x14ac:dyDescent="0.2">
      <c r="A12" s="38"/>
      <c r="B12" s="44" t="s">
        <v>77</v>
      </c>
      <c r="C12" s="43">
        <v>3</v>
      </c>
      <c r="D12" s="43">
        <v>3</v>
      </c>
      <c r="E12" s="42">
        <v>30</v>
      </c>
      <c r="F12" s="42">
        <v>20</v>
      </c>
      <c r="G12" s="41">
        <f t="shared" si="0"/>
        <v>100</v>
      </c>
      <c r="H12" s="40">
        <v>4</v>
      </c>
      <c r="I12" s="40">
        <v>3</v>
      </c>
      <c r="J12" s="40">
        <f t="shared" si="1"/>
        <v>12</v>
      </c>
      <c r="K12" s="39">
        <f t="shared" si="2"/>
        <v>1003.0594786676261</v>
      </c>
      <c r="L12" s="39">
        <f t="shared" si="3"/>
        <v>206.10082760096083</v>
      </c>
      <c r="M12" s="39">
        <f t="shared" si="4"/>
        <v>11.471999999999998</v>
      </c>
      <c r="N12" s="39">
        <f t="shared" si="5"/>
        <v>0.64800000000000013</v>
      </c>
      <c r="O12" s="39">
        <f t="shared" si="6"/>
        <v>65.453157788283221</v>
      </c>
      <c r="P12" s="39">
        <f t="shared" si="7"/>
        <v>8.9555529531537044</v>
      </c>
      <c r="Q12" s="39">
        <f t="shared" si="8"/>
        <v>58.922182862258666</v>
      </c>
      <c r="R12" s="39">
        <f t="shared" si="9"/>
        <v>4.6007785963363244</v>
      </c>
      <c r="S12" s="38"/>
      <c r="T12" s="38"/>
      <c r="U12" s="38"/>
      <c r="V12" s="38"/>
      <c r="W12" s="38"/>
      <c r="X12" s="38"/>
      <c r="Y12" s="38"/>
      <c r="Z12" s="38"/>
    </row>
    <row r="13" spans="1:26" ht="15" customHeight="1" x14ac:dyDescent="0.2">
      <c r="A13" s="38"/>
      <c r="B13" s="44" t="s">
        <v>76</v>
      </c>
      <c r="C13" s="43">
        <v>3</v>
      </c>
      <c r="D13" s="43">
        <v>3</v>
      </c>
      <c r="E13" s="42">
        <v>30</v>
      </c>
      <c r="F13" s="42">
        <v>18</v>
      </c>
      <c r="G13" s="41">
        <f t="shared" si="0"/>
        <v>90</v>
      </c>
      <c r="H13" s="40">
        <v>4</v>
      </c>
      <c r="I13" s="40">
        <v>3</v>
      </c>
      <c r="J13" s="40">
        <f t="shared" si="1"/>
        <v>12</v>
      </c>
      <c r="K13" s="39">
        <f t="shared" si="2"/>
        <v>978.73004983398346</v>
      </c>
      <c r="L13" s="39">
        <f t="shared" si="3"/>
        <v>197.19731615319304</v>
      </c>
      <c r="M13" s="39">
        <f t="shared" si="4"/>
        <v>9.3119999999999994</v>
      </c>
      <c r="N13" s="39">
        <f t="shared" si="5"/>
        <v>0.52800000000000002</v>
      </c>
      <c r="O13" s="39">
        <f t="shared" si="6"/>
        <v>63.782982894075353</v>
      </c>
      <c r="P13" s="39">
        <f t="shared" si="7"/>
        <v>8.6875158013201936</v>
      </c>
      <c r="Q13" s="39">
        <f t="shared" si="8"/>
        <v>57.459357462865398</v>
      </c>
      <c r="R13" s="39">
        <f t="shared" si="9"/>
        <v>4.4691622401765674</v>
      </c>
      <c r="S13" s="38"/>
      <c r="T13" s="38"/>
      <c r="U13" s="38"/>
      <c r="V13" s="38"/>
      <c r="W13" s="38"/>
      <c r="X13" s="38"/>
      <c r="Y13" s="38"/>
      <c r="Z13" s="38"/>
    </row>
    <row r="14" spans="1:26" ht="15" customHeight="1" x14ac:dyDescent="0.2">
      <c r="A14" s="38"/>
      <c r="B14" s="44" t="s">
        <v>75</v>
      </c>
      <c r="C14" s="43">
        <v>2</v>
      </c>
      <c r="D14" s="43">
        <v>2</v>
      </c>
      <c r="E14" s="42">
        <v>30</v>
      </c>
      <c r="F14" s="42">
        <v>40</v>
      </c>
      <c r="G14" s="41">
        <f t="shared" si="0"/>
        <v>300</v>
      </c>
      <c r="H14" s="40">
        <v>3</v>
      </c>
      <c r="I14" s="40">
        <v>4</v>
      </c>
      <c r="J14" s="40">
        <f t="shared" si="1"/>
        <v>12</v>
      </c>
      <c r="K14" s="39">
        <f t="shared" si="2"/>
        <v>1256.7466339177113</v>
      </c>
      <c r="L14" s="39">
        <f t="shared" si="3"/>
        <v>298.9392787773171</v>
      </c>
      <c r="M14" s="39">
        <f t="shared" si="4"/>
        <v>54.67199999999999</v>
      </c>
      <c r="N14" s="39">
        <f t="shared" si="5"/>
        <v>3.048</v>
      </c>
      <c r="O14" s="39">
        <f t="shared" si="6"/>
        <v>82.868359788250103</v>
      </c>
      <c r="P14" s="39">
        <f t="shared" si="7"/>
        <v>11.750422615525377</v>
      </c>
      <c r="Q14" s="39">
        <f t="shared" si="8"/>
        <v>74.175315878126696</v>
      </c>
      <c r="R14" s="39">
        <f t="shared" si="9"/>
        <v>5.9731650673405259</v>
      </c>
      <c r="S14" s="38"/>
      <c r="T14" s="38"/>
      <c r="U14" s="38"/>
      <c r="V14" s="38"/>
      <c r="W14" s="38"/>
      <c r="X14" s="38"/>
      <c r="Y14" s="38"/>
      <c r="Z14" s="38"/>
    </row>
    <row r="15" spans="1:26" ht="15" customHeight="1" x14ac:dyDescent="0.2">
      <c r="A15" s="38"/>
      <c r="B15" s="44"/>
      <c r="C15" s="43"/>
      <c r="D15" s="43"/>
      <c r="E15" s="42"/>
      <c r="F15" s="42"/>
      <c r="G15" s="41">
        <f t="shared" si="0"/>
        <v>0</v>
      </c>
      <c r="H15" s="40"/>
      <c r="I15" s="40"/>
      <c r="J15" s="40">
        <f t="shared" si="1"/>
        <v>0</v>
      </c>
      <c r="K15" s="39">
        <f t="shared" si="2"/>
        <v>0</v>
      </c>
      <c r="L15" s="39">
        <f t="shared" si="3"/>
        <v>0</v>
      </c>
      <c r="M15" s="39">
        <f t="shared" si="4"/>
        <v>0</v>
      </c>
      <c r="N15" s="39">
        <f t="shared" si="5"/>
        <v>0</v>
      </c>
      <c r="O15" s="39">
        <f t="shared" si="6"/>
        <v>0</v>
      </c>
      <c r="P15" s="39">
        <f t="shared" si="7"/>
        <v>0</v>
      </c>
      <c r="Q15" s="39">
        <f t="shared" si="8"/>
        <v>0</v>
      </c>
      <c r="R15" s="39">
        <f t="shared" si="9"/>
        <v>0</v>
      </c>
      <c r="S15" s="38"/>
      <c r="T15" s="38"/>
      <c r="U15" s="38"/>
      <c r="V15" s="38"/>
      <c r="W15" s="38"/>
      <c r="X15" s="38"/>
      <c r="Y15" s="38"/>
      <c r="Z15" s="38"/>
    </row>
    <row r="16" spans="1:26" ht="15" customHeight="1" x14ac:dyDescent="0.2">
      <c r="A16" s="38"/>
      <c r="B16" s="44"/>
      <c r="C16" s="43"/>
      <c r="D16" s="43"/>
      <c r="E16" s="42"/>
      <c r="F16" s="42"/>
      <c r="G16" s="41">
        <f t="shared" si="0"/>
        <v>0</v>
      </c>
      <c r="H16" s="40"/>
      <c r="I16" s="40"/>
      <c r="J16" s="40">
        <f t="shared" si="1"/>
        <v>0</v>
      </c>
      <c r="K16" s="39">
        <f t="shared" si="2"/>
        <v>0</v>
      </c>
      <c r="L16" s="39">
        <f t="shared" si="3"/>
        <v>0</v>
      </c>
      <c r="M16" s="39">
        <f t="shared" si="4"/>
        <v>0</v>
      </c>
      <c r="N16" s="39">
        <f t="shared" si="5"/>
        <v>0</v>
      </c>
      <c r="O16" s="39">
        <f t="shared" si="6"/>
        <v>0</v>
      </c>
      <c r="P16" s="39">
        <f t="shared" si="7"/>
        <v>0</v>
      </c>
      <c r="Q16" s="39">
        <f t="shared" si="8"/>
        <v>0</v>
      </c>
      <c r="R16" s="39">
        <f t="shared" si="9"/>
        <v>0</v>
      </c>
      <c r="S16" s="38"/>
      <c r="T16" s="38"/>
      <c r="U16" s="38"/>
      <c r="V16" s="38"/>
      <c r="W16" s="38"/>
      <c r="X16" s="38"/>
      <c r="Y16" s="38"/>
      <c r="Z16" s="38"/>
    </row>
    <row r="17" spans="1:26" ht="15" customHeight="1" x14ac:dyDescent="0.2">
      <c r="A17" s="38"/>
      <c r="B17" s="44"/>
      <c r="C17" s="43"/>
      <c r="D17" s="43"/>
      <c r="E17" s="42"/>
      <c r="F17" s="42"/>
      <c r="G17" s="41">
        <f t="shared" si="0"/>
        <v>0</v>
      </c>
      <c r="H17" s="40"/>
      <c r="I17" s="40"/>
      <c r="J17" s="40">
        <f t="shared" si="1"/>
        <v>0</v>
      </c>
      <c r="K17" s="39">
        <f t="shared" si="2"/>
        <v>0</v>
      </c>
      <c r="L17" s="39">
        <f t="shared" si="3"/>
        <v>0</v>
      </c>
      <c r="M17" s="39">
        <f t="shared" si="4"/>
        <v>0</v>
      </c>
      <c r="N17" s="39">
        <f t="shared" si="5"/>
        <v>0</v>
      </c>
      <c r="O17" s="39">
        <f t="shared" si="6"/>
        <v>0</v>
      </c>
      <c r="P17" s="39">
        <f t="shared" si="7"/>
        <v>0</v>
      </c>
      <c r="Q17" s="39">
        <f t="shared" si="8"/>
        <v>0</v>
      </c>
      <c r="R17" s="39">
        <f t="shared" si="9"/>
        <v>0</v>
      </c>
      <c r="S17" s="38"/>
      <c r="T17" s="38"/>
      <c r="U17" s="38"/>
      <c r="V17" s="38"/>
      <c r="W17" s="38"/>
      <c r="X17" s="38"/>
      <c r="Y17" s="38"/>
      <c r="Z17" s="38"/>
    </row>
    <row r="18" spans="1:26" ht="15" customHeight="1" x14ac:dyDescent="0.2">
      <c r="A18" s="38"/>
      <c r="B18" s="44"/>
      <c r="C18" s="43"/>
      <c r="D18" s="43"/>
      <c r="E18" s="42"/>
      <c r="F18" s="42"/>
      <c r="G18" s="41">
        <f t="shared" si="0"/>
        <v>0</v>
      </c>
      <c r="H18" s="40"/>
      <c r="I18" s="40"/>
      <c r="J18" s="40">
        <f t="shared" si="1"/>
        <v>0</v>
      </c>
      <c r="K18" s="39">
        <f t="shared" si="2"/>
        <v>0</v>
      </c>
      <c r="L18" s="39">
        <f t="shared" si="3"/>
        <v>0</v>
      </c>
      <c r="M18" s="39">
        <f t="shared" si="4"/>
        <v>0</v>
      </c>
      <c r="N18" s="39">
        <f t="shared" si="5"/>
        <v>0</v>
      </c>
      <c r="O18" s="39">
        <f t="shared" si="6"/>
        <v>0</v>
      </c>
      <c r="P18" s="39">
        <f t="shared" si="7"/>
        <v>0</v>
      </c>
      <c r="Q18" s="39">
        <f t="shared" si="8"/>
        <v>0</v>
      </c>
      <c r="R18" s="39">
        <f t="shared" si="9"/>
        <v>0</v>
      </c>
      <c r="S18" s="38"/>
      <c r="T18" s="38"/>
      <c r="U18" s="38"/>
      <c r="V18" s="38"/>
      <c r="W18" s="38"/>
      <c r="X18" s="38"/>
      <c r="Y18" s="38"/>
      <c r="Z18" s="38"/>
    </row>
    <row r="19" spans="1:26" ht="15" customHeight="1" x14ac:dyDescent="0.2">
      <c r="A19" s="38"/>
      <c r="B19" s="44"/>
      <c r="C19" s="43"/>
      <c r="D19" s="43"/>
      <c r="E19" s="42"/>
      <c r="F19" s="42"/>
      <c r="G19" s="41">
        <f t="shared" si="0"/>
        <v>0</v>
      </c>
      <c r="H19" s="40"/>
      <c r="I19" s="40"/>
      <c r="J19" s="40">
        <f t="shared" si="1"/>
        <v>0</v>
      </c>
      <c r="K19" s="39">
        <f t="shared" si="2"/>
        <v>0</v>
      </c>
      <c r="L19" s="39">
        <f t="shared" si="3"/>
        <v>0</v>
      </c>
      <c r="M19" s="39">
        <f t="shared" si="4"/>
        <v>0</v>
      </c>
      <c r="N19" s="39">
        <f t="shared" si="5"/>
        <v>0</v>
      </c>
      <c r="O19" s="39">
        <f t="shared" si="6"/>
        <v>0</v>
      </c>
      <c r="P19" s="39">
        <f t="shared" si="7"/>
        <v>0</v>
      </c>
      <c r="Q19" s="39">
        <f t="shared" si="8"/>
        <v>0</v>
      </c>
      <c r="R19" s="39">
        <f t="shared" si="9"/>
        <v>0</v>
      </c>
      <c r="S19" s="38"/>
      <c r="T19" s="38"/>
      <c r="U19" s="38"/>
      <c r="V19" s="38"/>
      <c r="W19" s="38"/>
      <c r="X19" s="38"/>
      <c r="Y19" s="38"/>
      <c r="Z19" s="38"/>
    </row>
    <row r="20" spans="1:26" ht="15" customHeight="1" x14ac:dyDescent="0.2">
      <c r="A20" s="38"/>
      <c r="B20" s="44"/>
      <c r="C20" s="43"/>
      <c r="D20" s="43"/>
      <c r="E20" s="42"/>
      <c r="F20" s="42"/>
      <c r="G20" s="41">
        <f t="shared" si="0"/>
        <v>0</v>
      </c>
      <c r="H20" s="40"/>
      <c r="I20" s="40"/>
      <c r="J20" s="40">
        <f t="shared" si="1"/>
        <v>0</v>
      </c>
      <c r="K20" s="39">
        <f t="shared" si="2"/>
        <v>0</v>
      </c>
      <c r="L20" s="39">
        <f t="shared" si="3"/>
        <v>0</v>
      </c>
      <c r="M20" s="39">
        <f t="shared" si="4"/>
        <v>0</v>
      </c>
      <c r="N20" s="39">
        <f t="shared" si="5"/>
        <v>0</v>
      </c>
      <c r="O20" s="39">
        <f t="shared" si="6"/>
        <v>0</v>
      </c>
      <c r="P20" s="39">
        <f t="shared" si="7"/>
        <v>0</v>
      </c>
      <c r="Q20" s="39">
        <f t="shared" si="8"/>
        <v>0</v>
      </c>
      <c r="R20" s="39">
        <f t="shared" si="9"/>
        <v>0</v>
      </c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8"/>
      <c r="B21" s="44"/>
      <c r="C21" s="43"/>
      <c r="D21" s="43"/>
      <c r="E21" s="42"/>
      <c r="F21" s="42"/>
      <c r="G21" s="41">
        <f t="shared" si="0"/>
        <v>0</v>
      </c>
      <c r="H21" s="40"/>
      <c r="I21" s="40"/>
      <c r="J21" s="40">
        <f t="shared" si="1"/>
        <v>0</v>
      </c>
      <c r="K21" s="39">
        <f t="shared" si="2"/>
        <v>0</v>
      </c>
      <c r="L21" s="39">
        <f t="shared" si="3"/>
        <v>0</v>
      </c>
      <c r="M21" s="39">
        <f t="shared" si="4"/>
        <v>0</v>
      </c>
      <c r="N21" s="39">
        <f t="shared" si="5"/>
        <v>0</v>
      </c>
      <c r="O21" s="39">
        <f t="shared" si="6"/>
        <v>0</v>
      </c>
      <c r="P21" s="39">
        <f t="shared" si="7"/>
        <v>0</v>
      </c>
      <c r="Q21" s="39">
        <f t="shared" si="8"/>
        <v>0</v>
      </c>
      <c r="R21" s="39">
        <f t="shared" si="9"/>
        <v>0</v>
      </c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44"/>
      <c r="C22" s="43"/>
      <c r="D22" s="43"/>
      <c r="E22" s="42"/>
      <c r="F22" s="42"/>
      <c r="G22" s="41">
        <f t="shared" si="0"/>
        <v>0</v>
      </c>
      <c r="H22" s="40"/>
      <c r="I22" s="40"/>
      <c r="J22" s="40">
        <f t="shared" si="1"/>
        <v>0</v>
      </c>
      <c r="K22" s="39">
        <f t="shared" si="2"/>
        <v>0</v>
      </c>
      <c r="L22" s="39">
        <f t="shared" si="3"/>
        <v>0</v>
      </c>
      <c r="M22" s="39">
        <f t="shared" si="4"/>
        <v>0</v>
      </c>
      <c r="N22" s="39">
        <f t="shared" si="5"/>
        <v>0</v>
      </c>
      <c r="O22" s="39">
        <f t="shared" si="6"/>
        <v>0</v>
      </c>
      <c r="P22" s="39">
        <f t="shared" si="7"/>
        <v>0</v>
      </c>
      <c r="Q22" s="39">
        <f t="shared" si="8"/>
        <v>0</v>
      </c>
      <c r="R22" s="39">
        <f t="shared" si="9"/>
        <v>0</v>
      </c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44"/>
      <c r="C23" s="43"/>
      <c r="D23" s="43"/>
      <c r="E23" s="42"/>
      <c r="F23" s="42"/>
      <c r="G23" s="41">
        <f t="shared" si="0"/>
        <v>0</v>
      </c>
      <c r="H23" s="40"/>
      <c r="I23" s="40"/>
      <c r="J23" s="40">
        <f t="shared" si="1"/>
        <v>0</v>
      </c>
      <c r="K23" s="39">
        <f t="shared" si="2"/>
        <v>0</v>
      </c>
      <c r="L23" s="39">
        <f t="shared" si="3"/>
        <v>0</v>
      </c>
      <c r="M23" s="39">
        <f t="shared" si="4"/>
        <v>0</v>
      </c>
      <c r="N23" s="39">
        <f t="shared" si="5"/>
        <v>0</v>
      </c>
      <c r="O23" s="39">
        <f t="shared" si="6"/>
        <v>0</v>
      </c>
      <c r="P23" s="39">
        <f t="shared" si="7"/>
        <v>0</v>
      </c>
      <c r="Q23" s="39">
        <f t="shared" si="8"/>
        <v>0</v>
      </c>
      <c r="R23" s="39">
        <f t="shared" si="9"/>
        <v>0</v>
      </c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44"/>
      <c r="C24" s="43"/>
      <c r="D24" s="43"/>
      <c r="E24" s="42"/>
      <c r="F24" s="42"/>
      <c r="G24" s="41">
        <f t="shared" si="0"/>
        <v>0</v>
      </c>
      <c r="H24" s="40"/>
      <c r="I24" s="40"/>
      <c r="J24" s="40">
        <f t="shared" si="1"/>
        <v>0</v>
      </c>
      <c r="K24" s="39">
        <f t="shared" si="2"/>
        <v>0</v>
      </c>
      <c r="L24" s="39">
        <f t="shared" si="3"/>
        <v>0</v>
      </c>
      <c r="M24" s="39">
        <f t="shared" si="4"/>
        <v>0</v>
      </c>
      <c r="N24" s="39">
        <f t="shared" si="5"/>
        <v>0</v>
      </c>
      <c r="O24" s="39">
        <f t="shared" si="6"/>
        <v>0</v>
      </c>
      <c r="P24" s="39">
        <f t="shared" si="7"/>
        <v>0</v>
      </c>
      <c r="Q24" s="39">
        <f t="shared" si="8"/>
        <v>0</v>
      </c>
      <c r="R24" s="39">
        <f t="shared" si="9"/>
        <v>0</v>
      </c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44"/>
      <c r="C25" s="43"/>
      <c r="D25" s="43"/>
      <c r="E25" s="42"/>
      <c r="F25" s="42"/>
      <c r="G25" s="41">
        <f t="shared" si="0"/>
        <v>0</v>
      </c>
      <c r="H25" s="40"/>
      <c r="I25" s="40"/>
      <c r="J25" s="40">
        <f t="shared" si="1"/>
        <v>0</v>
      </c>
      <c r="K25" s="39">
        <f t="shared" si="2"/>
        <v>0</v>
      </c>
      <c r="L25" s="39">
        <f t="shared" si="3"/>
        <v>0</v>
      </c>
      <c r="M25" s="39">
        <f t="shared" si="4"/>
        <v>0</v>
      </c>
      <c r="N25" s="39">
        <f t="shared" si="5"/>
        <v>0</v>
      </c>
      <c r="O25" s="39">
        <f t="shared" si="6"/>
        <v>0</v>
      </c>
      <c r="P25" s="39">
        <f t="shared" si="7"/>
        <v>0</v>
      </c>
      <c r="Q25" s="39">
        <f t="shared" si="8"/>
        <v>0</v>
      </c>
      <c r="R25" s="39">
        <f t="shared" si="9"/>
        <v>0</v>
      </c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44"/>
      <c r="C26" s="43"/>
      <c r="D26" s="43"/>
      <c r="E26" s="42"/>
      <c r="F26" s="42"/>
      <c r="G26" s="41">
        <f t="shared" si="0"/>
        <v>0</v>
      </c>
      <c r="H26" s="40"/>
      <c r="I26" s="40"/>
      <c r="J26" s="40">
        <f t="shared" si="1"/>
        <v>0</v>
      </c>
      <c r="K26" s="39">
        <f t="shared" si="2"/>
        <v>0</v>
      </c>
      <c r="L26" s="39">
        <f t="shared" si="3"/>
        <v>0</v>
      </c>
      <c r="M26" s="39">
        <f t="shared" si="4"/>
        <v>0</v>
      </c>
      <c r="N26" s="39">
        <f t="shared" si="5"/>
        <v>0</v>
      </c>
      <c r="O26" s="39">
        <f t="shared" si="6"/>
        <v>0</v>
      </c>
      <c r="P26" s="39">
        <f t="shared" si="7"/>
        <v>0</v>
      </c>
      <c r="Q26" s="39">
        <f t="shared" si="8"/>
        <v>0</v>
      </c>
      <c r="R26" s="39">
        <f t="shared" si="9"/>
        <v>0</v>
      </c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44"/>
      <c r="C27" s="43"/>
      <c r="D27" s="43"/>
      <c r="E27" s="42"/>
      <c r="F27" s="42"/>
      <c r="G27" s="41">
        <f t="shared" si="0"/>
        <v>0</v>
      </c>
      <c r="H27" s="40"/>
      <c r="I27" s="40"/>
      <c r="J27" s="40">
        <f t="shared" si="1"/>
        <v>0</v>
      </c>
      <c r="K27" s="39">
        <f t="shared" si="2"/>
        <v>0</v>
      </c>
      <c r="L27" s="39">
        <f t="shared" si="3"/>
        <v>0</v>
      </c>
      <c r="M27" s="39">
        <f t="shared" si="4"/>
        <v>0</v>
      </c>
      <c r="N27" s="39">
        <f t="shared" si="5"/>
        <v>0</v>
      </c>
      <c r="O27" s="39">
        <f t="shared" si="6"/>
        <v>0</v>
      </c>
      <c r="P27" s="39">
        <f t="shared" si="7"/>
        <v>0</v>
      </c>
      <c r="Q27" s="39">
        <f t="shared" si="8"/>
        <v>0</v>
      </c>
      <c r="R27" s="39">
        <f t="shared" si="9"/>
        <v>0</v>
      </c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44"/>
      <c r="C28" s="43"/>
      <c r="D28" s="43"/>
      <c r="E28" s="42"/>
      <c r="F28" s="42"/>
      <c r="G28" s="41">
        <f t="shared" si="0"/>
        <v>0</v>
      </c>
      <c r="H28" s="40"/>
      <c r="I28" s="40"/>
      <c r="J28" s="40">
        <f t="shared" si="1"/>
        <v>0</v>
      </c>
      <c r="K28" s="39">
        <f t="shared" si="2"/>
        <v>0</v>
      </c>
      <c r="L28" s="39">
        <f t="shared" si="3"/>
        <v>0</v>
      </c>
      <c r="M28" s="39">
        <f t="shared" si="4"/>
        <v>0</v>
      </c>
      <c r="N28" s="39">
        <f t="shared" si="5"/>
        <v>0</v>
      </c>
      <c r="O28" s="39">
        <f t="shared" si="6"/>
        <v>0</v>
      </c>
      <c r="P28" s="39">
        <f t="shared" si="7"/>
        <v>0</v>
      </c>
      <c r="Q28" s="39">
        <f t="shared" si="8"/>
        <v>0</v>
      </c>
      <c r="R28" s="39">
        <f t="shared" si="9"/>
        <v>0</v>
      </c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44"/>
      <c r="C29" s="43"/>
      <c r="D29" s="43"/>
      <c r="E29" s="42"/>
      <c r="F29" s="42"/>
      <c r="G29" s="41">
        <f t="shared" si="0"/>
        <v>0</v>
      </c>
      <c r="H29" s="40"/>
      <c r="I29" s="40"/>
      <c r="J29" s="40">
        <f t="shared" si="1"/>
        <v>0</v>
      </c>
      <c r="K29" s="39">
        <f t="shared" si="2"/>
        <v>0</v>
      </c>
      <c r="L29" s="39">
        <f t="shared" si="3"/>
        <v>0</v>
      </c>
      <c r="M29" s="39">
        <f t="shared" si="4"/>
        <v>0</v>
      </c>
      <c r="N29" s="39">
        <f t="shared" si="5"/>
        <v>0</v>
      </c>
      <c r="O29" s="39">
        <f t="shared" si="6"/>
        <v>0</v>
      </c>
      <c r="P29" s="39">
        <f t="shared" si="7"/>
        <v>0</v>
      </c>
      <c r="Q29" s="39">
        <f t="shared" si="8"/>
        <v>0</v>
      </c>
      <c r="R29" s="39">
        <f t="shared" si="9"/>
        <v>0</v>
      </c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44"/>
      <c r="C30" s="43"/>
      <c r="D30" s="43"/>
      <c r="E30" s="42"/>
      <c r="F30" s="42"/>
      <c r="G30" s="41">
        <f t="shared" si="0"/>
        <v>0</v>
      </c>
      <c r="H30" s="40"/>
      <c r="I30" s="40"/>
      <c r="J30" s="40">
        <f t="shared" si="1"/>
        <v>0</v>
      </c>
      <c r="K30" s="39">
        <f t="shared" si="2"/>
        <v>0</v>
      </c>
      <c r="L30" s="39">
        <f t="shared" si="3"/>
        <v>0</v>
      </c>
      <c r="M30" s="39">
        <f t="shared" si="4"/>
        <v>0</v>
      </c>
      <c r="N30" s="39">
        <f t="shared" si="5"/>
        <v>0</v>
      </c>
      <c r="O30" s="39">
        <f t="shared" si="6"/>
        <v>0</v>
      </c>
      <c r="P30" s="39">
        <f t="shared" si="7"/>
        <v>0</v>
      </c>
      <c r="Q30" s="39">
        <f t="shared" si="8"/>
        <v>0</v>
      </c>
      <c r="R30" s="39">
        <f t="shared" si="9"/>
        <v>0</v>
      </c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44"/>
      <c r="C31" s="43"/>
      <c r="D31" s="43"/>
      <c r="E31" s="42"/>
      <c r="F31" s="42"/>
      <c r="G31" s="41">
        <f t="shared" si="0"/>
        <v>0</v>
      </c>
      <c r="H31" s="40"/>
      <c r="I31" s="40"/>
      <c r="J31" s="40">
        <f t="shared" si="1"/>
        <v>0</v>
      </c>
      <c r="K31" s="39">
        <f t="shared" si="2"/>
        <v>0</v>
      </c>
      <c r="L31" s="39">
        <f t="shared" si="3"/>
        <v>0</v>
      </c>
      <c r="M31" s="39">
        <f t="shared" si="4"/>
        <v>0</v>
      </c>
      <c r="N31" s="39">
        <f t="shared" si="5"/>
        <v>0</v>
      </c>
      <c r="O31" s="39">
        <f t="shared" si="6"/>
        <v>0</v>
      </c>
      <c r="P31" s="39">
        <f t="shared" si="7"/>
        <v>0</v>
      </c>
      <c r="Q31" s="39">
        <f t="shared" si="8"/>
        <v>0</v>
      </c>
      <c r="R31" s="39">
        <f t="shared" si="9"/>
        <v>0</v>
      </c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44"/>
      <c r="C32" s="43"/>
      <c r="D32" s="43"/>
      <c r="E32" s="42"/>
      <c r="F32" s="42"/>
      <c r="G32" s="41">
        <f t="shared" si="0"/>
        <v>0</v>
      </c>
      <c r="H32" s="40"/>
      <c r="I32" s="40"/>
      <c r="J32" s="40">
        <f t="shared" si="1"/>
        <v>0</v>
      </c>
      <c r="K32" s="39">
        <f t="shared" si="2"/>
        <v>0</v>
      </c>
      <c r="L32" s="39">
        <f t="shared" si="3"/>
        <v>0</v>
      </c>
      <c r="M32" s="39">
        <f t="shared" si="4"/>
        <v>0</v>
      </c>
      <c r="N32" s="39">
        <f t="shared" si="5"/>
        <v>0</v>
      </c>
      <c r="O32" s="39">
        <f t="shared" si="6"/>
        <v>0</v>
      </c>
      <c r="P32" s="39">
        <f t="shared" si="7"/>
        <v>0</v>
      </c>
      <c r="Q32" s="39">
        <f t="shared" si="8"/>
        <v>0</v>
      </c>
      <c r="R32" s="39">
        <f t="shared" si="9"/>
        <v>0</v>
      </c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44"/>
      <c r="C33" s="43"/>
      <c r="D33" s="43"/>
      <c r="E33" s="42"/>
      <c r="F33" s="42"/>
      <c r="G33" s="41">
        <f t="shared" si="0"/>
        <v>0</v>
      </c>
      <c r="H33" s="40"/>
      <c r="I33" s="40"/>
      <c r="J33" s="40">
        <f t="shared" si="1"/>
        <v>0</v>
      </c>
      <c r="K33" s="39">
        <f t="shared" si="2"/>
        <v>0</v>
      </c>
      <c r="L33" s="39">
        <f t="shared" si="3"/>
        <v>0</v>
      </c>
      <c r="M33" s="39">
        <f t="shared" si="4"/>
        <v>0</v>
      </c>
      <c r="N33" s="39">
        <f t="shared" si="5"/>
        <v>0</v>
      </c>
      <c r="O33" s="39">
        <f t="shared" si="6"/>
        <v>0</v>
      </c>
      <c r="P33" s="39">
        <f t="shared" si="7"/>
        <v>0</v>
      </c>
      <c r="Q33" s="39">
        <f t="shared" si="8"/>
        <v>0</v>
      </c>
      <c r="R33" s="39">
        <f t="shared" si="9"/>
        <v>0</v>
      </c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44"/>
      <c r="C34" s="43"/>
      <c r="D34" s="43"/>
      <c r="E34" s="42"/>
      <c r="F34" s="42"/>
      <c r="G34" s="41">
        <f t="shared" si="0"/>
        <v>0</v>
      </c>
      <c r="H34" s="40"/>
      <c r="I34" s="40"/>
      <c r="J34" s="40">
        <f t="shared" si="1"/>
        <v>0</v>
      </c>
      <c r="K34" s="39">
        <f t="shared" si="2"/>
        <v>0</v>
      </c>
      <c r="L34" s="39">
        <f t="shared" si="3"/>
        <v>0</v>
      </c>
      <c r="M34" s="39">
        <f t="shared" si="4"/>
        <v>0</v>
      </c>
      <c r="N34" s="39">
        <f t="shared" si="5"/>
        <v>0</v>
      </c>
      <c r="O34" s="39">
        <f t="shared" si="6"/>
        <v>0</v>
      </c>
      <c r="P34" s="39">
        <f t="shared" si="7"/>
        <v>0</v>
      </c>
      <c r="Q34" s="39">
        <f t="shared" si="8"/>
        <v>0</v>
      </c>
      <c r="R34" s="39">
        <f t="shared" si="9"/>
        <v>0</v>
      </c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44"/>
      <c r="C35" s="43"/>
      <c r="D35" s="43"/>
      <c r="E35" s="42"/>
      <c r="F35" s="42"/>
      <c r="G35" s="41">
        <f t="shared" si="0"/>
        <v>0</v>
      </c>
      <c r="H35" s="40"/>
      <c r="I35" s="40"/>
      <c r="J35" s="40">
        <f t="shared" si="1"/>
        <v>0</v>
      </c>
      <c r="K35" s="39">
        <f t="shared" si="2"/>
        <v>0</v>
      </c>
      <c r="L35" s="39">
        <f t="shared" si="3"/>
        <v>0</v>
      </c>
      <c r="M35" s="39">
        <f t="shared" si="4"/>
        <v>0</v>
      </c>
      <c r="N35" s="39">
        <f t="shared" si="5"/>
        <v>0</v>
      </c>
      <c r="O35" s="39">
        <f t="shared" si="6"/>
        <v>0</v>
      </c>
      <c r="P35" s="39">
        <f t="shared" si="7"/>
        <v>0</v>
      </c>
      <c r="Q35" s="39">
        <f t="shared" si="8"/>
        <v>0</v>
      </c>
      <c r="R35" s="39">
        <f t="shared" si="9"/>
        <v>0</v>
      </c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44"/>
      <c r="C36" s="43"/>
      <c r="D36" s="43"/>
      <c r="E36" s="42"/>
      <c r="F36" s="42"/>
      <c r="G36" s="41">
        <f t="shared" si="0"/>
        <v>0</v>
      </c>
      <c r="H36" s="40"/>
      <c r="I36" s="40"/>
      <c r="J36" s="40">
        <f t="shared" si="1"/>
        <v>0</v>
      </c>
      <c r="K36" s="39">
        <f t="shared" si="2"/>
        <v>0</v>
      </c>
      <c r="L36" s="39">
        <f t="shared" si="3"/>
        <v>0</v>
      </c>
      <c r="M36" s="39">
        <f t="shared" si="4"/>
        <v>0</v>
      </c>
      <c r="N36" s="39">
        <f t="shared" si="5"/>
        <v>0</v>
      </c>
      <c r="O36" s="39">
        <f t="shared" si="6"/>
        <v>0</v>
      </c>
      <c r="P36" s="39">
        <f t="shared" si="7"/>
        <v>0</v>
      </c>
      <c r="Q36" s="39">
        <f t="shared" si="8"/>
        <v>0</v>
      </c>
      <c r="R36" s="39">
        <f t="shared" si="9"/>
        <v>0</v>
      </c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44"/>
      <c r="C37" s="43"/>
      <c r="D37" s="43"/>
      <c r="E37" s="42"/>
      <c r="F37" s="42"/>
      <c r="G37" s="41">
        <f t="shared" si="0"/>
        <v>0</v>
      </c>
      <c r="H37" s="40"/>
      <c r="I37" s="40"/>
      <c r="J37" s="40">
        <f t="shared" si="1"/>
        <v>0</v>
      </c>
      <c r="K37" s="39">
        <f t="shared" si="2"/>
        <v>0</v>
      </c>
      <c r="L37" s="39">
        <f t="shared" si="3"/>
        <v>0</v>
      </c>
      <c r="M37" s="39">
        <f t="shared" si="4"/>
        <v>0</v>
      </c>
      <c r="N37" s="39">
        <f t="shared" si="5"/>
        <v>0</v>
      </c>
      <c r="O37" s="39">
        <f t="shared" si="6"/>
        <v>0</v>
      </c>
      <c r="P37" s="39">
        <f t="shared" si="7"/>
        <v>0</v>
      </c>
      <c r="Q37" s="39">
        <f t="shared" si="8"/>
        <v>0</v>
      </c>
      <c r="R37" s="39">
        <f t="shared" si="9"/>
        <v>0</v>
      </c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44"/>
      <c r="C38" s="43"/>
      <c r="D38" s="43"/>
      <c r="E38" s="42"/>
      <c r="F38" s="42"/>
      <c r="G38" s="41">
        <f t="shared" si="0"/>
        <v>0</v>
      </c>
      <c r="H38" s="40"/>
      <c r="I38" s="40"/>
      <c r="J38" s="40">
        <f t="shared" si="1"/>
        <v>0</v>
      </c>
      <c r="K38" s="39">
        <f t="shared" si="2"/>
        <v>0</v>
      </c>
      <c r="L38" s="39">
        <f t="shared" si="3"/>
        <v>0</v>
      </c>
      <c r="M38" s="39">
        <f t="shared" si="4"/>
        <v>0</v>
      </c>
      <c r="N38" s="39">
        <f t="shared" si="5"/>
        <v>0</v>
      </c>
      <c r="O38" s="39">
        <f t="shared" si="6"/>
        <v>0</v>
      </c>
      <c r="P38" s="39">
        <f t="shared" si="7"/>
        <v>0</v>
      </c>
      <c r="Q38" s="39">
        <f t="shared" si="8"/>
        <v>0</v>
      </c>
      <c r="R38" s="39">
        <f t="shared" si="9"/>
        <v>0</v>
      </c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44"/>
      <c r="C39" s="43"/>
      <c r="D39" s="43"/>
      <c r="E39" s="42"/>
      <c r="F39" s="42"/>
      <c r="G39" s="41">
        <f t="shared" si="0"/>
        <v>0</v>
      </c>
      <c r="H39" s="40"/>
      <c r="I39" s="40"/>
      <c r="J39" s="40">
        <f t="shared" si="1"/>
        <v>0</v>
      </c>
      <c r="K39" s="39">
        <f t="shared" si="2"/>
        <v>0</v>
      </c>
      <c r="L39" s="39">
        <f t="shared" si="3"/>
        <v>0</v>
      </c>
      <c r="M39" s="39">
        <f t="shared" si="4"/>
        <v>0</v>
      </c>
      <c r="N39" s="39">
        <f t="shared" si="5"/>
        <v>0</v>
      </c>
      <c r="O39" s="39">
        <f t="shared" si="6"/>
        <v>0</v>
      </c>
      <c r="P39" s="39">
        <f t="shared" si="7"/>
        <v>0</v>
      </c>
      <c r="Q39" s="39">
        <f t="shared" si="8"/>
        <v>0</v>
      </c>
      <c r="R39" s="39">
        <f t="shared" si="9"/>
        <v>0</v>
      </c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44"/>
      <c r="C40" s="43"/>
      <c r="D40" s="43"/>
      <c r="E40" s="42"/>
      <c r="F40" s="42"/>
      <c r="G40" s="41">
        <f t="shared" si="0"/>
        <v>0</v>
      </c>
      <c r="H40" s="40"/>
      <c r="I40" s="40"/>
      <c r="J40" s="40">
        <f t="shared" si="1"/>
        <v>0</v>
      </c>
      <c r="K40" s="39">
        <f t="shared" si="2"/>
        <v>0</v>
      </c>
      <c r="L40" s="39">
        <f t="shared" si="3"/>
        <v>0</v>
      </c>
      <c r="M40" s="39">
        <f t="shared" si="4"/>
        <v>0</v>
      </c>
      <c r="N40" s="39">
        <f t="shared" si="5"/>
        <v>0</v>
      </c>
      <c r="O40" s="39">
        <f t="shared" si="6"/>
        <v>0</v>
      </c>
      <c r="P40" s="39">
        <f t="shared" si="7"/>
        <v>0</v>
      </c>
      <c r="Q40" s="39">
        <f t="shared" si="8"/>
        <v>0</v>
      </c>
      <c r="R40" s="39">
        <f t="shared" si="9"/>
        <v>0</v>
      </c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44"/>
      <c r="C41" s="43"/>
      <c r="D41" s="43"/>
      <c r="E41" s="42"/>
      <c r="F41" s="42"/>
      <c r="G41" s="41">
        <f t="shared" si="0"/>
        <v>0</v>
      </c>
      <c r="H41" s="40"/>
      <c r="I41" s="40"/>
      <c r="J41" s="40">
        <f t="shared" si="1"/>
        <v>0</v>
      </c>
      <c r="K41" s="39">
        <f t="shared" si="2"/>
        <v>0</v>
      </c>
      <c r="L41" s="39">
        <f t="shared" si="3"/>
        <v>0</v>
      </c>
      <c r="M41" s="39">
        <f t="shared" si="4"/>
        <v>0</v>
      </c>
      <c r="N41" s="39">
        <f t="shared" si="5"/>
        <v>0</v>
      </c>
      <c r="O41" s="39">
        <f t="shared" si="6"/>
        <v>0</v>
      </c>
      <c r="P41" s="39">
        <f t="shared" si="7"/>
        <v>0</v>
      </c>
      <c r="Q41" s="39">
        <f t="shared" si="8"/>
        <v>0</v>
      </c>
      <c r="R41" s="39">
        <f t="shared" si="9"/>
        <v>0</v>
      </c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44"/>
      <c r="C42" s="43"/>
      <c r="D42" s="43"/>
      <c r="E42" s="42"/>
      <c r="F42" s="42"/>
      <c r="G42" s="41">
        <f t="shared" si="0"/>
        <v>0</v>
      </c>
      <c r="H42" s="40"/>
      <c r="I42" s="40"/>
      <c r="J42" s="40">
        <f t="shared" si="1"/>
        <v>0</v>
      </c>
      <c r="K42" s="39">
        <f t="shared" si="2"/>
        <v>0</v>
      </c>
      <c r="L42" s="39">
        <f t="shared" si="3"/>
        <v>0</v>
      </c>
      <c r="M42" s="39">
        <f t="shared" si="4"/>
        <v>0</v>
      </c>
      <c r="N42" s="39">
        <f t="shared" si="5"/>
        <v>0</v>
      </c>
      <c r="O42" s="39">
        <f t="shared" si="6"/>
        <v>0</v>
      </c>
      <c r="P42" s="39">
        <f t="shared" si="7"/>
        <v>0</v>
      </c>
      <c r="Q42" s="39">
        <f t="shared" si="8"/>
        <v>0</v>
      </c>
      <c r="R42" s="39">
        <f t="shared" si="9"/>
        <v>0</v>
      </c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44"/>
      <c r="C43" s="43"/>
      <c r="D43" s="43"/>
      <c r="E43" s="42"/>
      <c r="F43" s="42"/>
      <c r="G43" s="41">
        <f t="shared" si="0"/>
        <v>0</v>
      </c>
      <c r="H43" s="40"/>
      <c r="I43" s="40"/>
      <c r="J43" s="40">
        <f t="shared" si="1"/>
        <v>0</v>
      </c>
      <c r="K43" s="39">
        <f t="shared" si="2"/>
        <v>0</v>
      </c>
      <c r="L43" s="39">
        <f t="shared" si="3"/>
        <v>0</v>
      </c>
      <c r="M43" s="39">
        <f t="shared" si="4"/>
        <v>0</v>
      </c>
      <c r="N43" s="39">
        <f t="shared" si="5"/>
        <v>0</v>
      </c>
      <c r="O43" s="39">
        <f t="shared" si="6"/>
        <v>0</v>
      </c>
      <c r="P43" s="39">
        <f t="shared" si="7"/>
        <v>0</v>
      </c>
      <c r="Q43" s="39">
        <f t="shared" si="8"/>
        <v>0</v>
      </c>
      <c r="R43" s="39">
        <f t="shared" si="9"/>
        <v>0</v>
      </c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44"/>
      <c r="C44" s="43"/>
      <c r="D44" s="43"/>
      <c r="E44" s="42"/>
      <c r="F44" s="42"/>
      <c r="G44" s="41">
        <f t="shared" si="0"/>
        <v>0</v>
      </c>
      <c r="H44" s="40"/>
      <c r="I44" s="40"/>
      <c r="J44" s="40">
        <f t="shared" si="1"/>
        <v>0</v>
      </c>
      <c r="K44" s="39">
        <f t="shared" si="2"/>
        <v>0</v>
      </c>
      <c r="L44" s="39">
        <f t="shared" si="3"/>
        <v>0</v>
      </c>
      <c r="M44" s="39">
        <f t="shared" si="4"/>
        <v>0</v>
      </c>
      <c r="N44" s="39">
        <f t="shared" si="5"/>
        <v>0</v>
      </c>
      <c r="O44" s="39">
        <f t="shared" si="6"/>
        <v>0</v>
      </c>
      <c r="P44" s="39">
        <f t="shared" si="7"/>
        <v>0</v>
      </c>
      <c r="Q44" s="39">
        <f t="shared" si="8"/>
        <v>0</v>
      </c>
      <c r="R44" s="39">
        <f t="shared" si="9"/>
        <v>0</v>
      </c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44"/>
      <c r="C45" s="43"/>
      <c r="D45" s="43"/>
      <c r="E45" s="42"/>
      <c r="F45" s="42"/>
      <c r="G45" s="41">
        <f t="shared" si="0"/>
        <v>0</v>
      </c>
      <c r="H45" s="40"/>
      <c r="I45" s="40"/>
      <c r="J45" s="40">
        <f t="shared" si="1"/>
        <v>0</v>
      </c>
      <c r="K45" s="39">
        <f t="shared" si="2"/>
        <v>0</v>
      </c>
      <c r="L45" s="39">
        <f t="shared" si="3"/>
        <v>0</v>
      </c>
      <c r="M45" s="39">
        <f t="shared" si="4"/>
        <v>0</v>
      </c>
      <c r="N45" s="39">
        <f t="shared" si="5"/>
        <v>0</v>
      </c>
      <c r="O45" s="39">
        <f t="shared" si="6"/>
        <v>0</v>
      </c>
      <c r="P45" s="39">
        <f t="shared" si="7"/>
        <v>0</v>
      </c>
      <c r="Q45" s="39">
        <f t="shared" si="8"/>
        <v>0</v>
      </c>
      <c r="R45" s="39">
        <f t="shared" si="9"/>
        <v>0</v>
      </c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44"/>
      <c r="C46" s="43"/>
      <c r="D46" s="43"/>
      <c r="E46" s="42"/>
      <c r="F46" s="42"/>
      <c r="G46" s="41">
        <f t="shared" si="0"/>
        <v>0</v>
      </c>
      <c r="H46" s="40"/>
      <c r="I46" s="40"/>
      <c r="J46" s="40">
        <f t="shared" si="1"/>
        <v>0</v>
      </c>
      <c r="K46" s="39">
        <f t="shared" si="2"/>
        <v>0</v>
      </c>
      <c r="L46" s="39">
        <f t="shared" si="3"/>
        <v>0</v>
      </c>
      <c r="M46" s="39">
        <f t="shared" si="4"/>
        <v>0</v>
      </c>
      <c r="N46" s="39">
        <f t="shared" si="5"/>
        <v>0</v>
      </c>
      <c r="O46" s="39">
        <f t="shared" si="6"/>
        <v>0</v>
      </c>
      <c r="P46" s="39">
        <f t="shared" si="7"/>
        <v>0</v>
      </c>
      <c r="Q46" s="39">
        <f t="shared" si="8"/>
        <v>0</v>
      </c>
      <c r="R46" s="39">
        <f t="shared" si="9"/>
        <v>0</v>
      </c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44"/>
      <c r="C47" s="43"/>
      <c r="D47" s="43"/>
      <c r="E47" s="42"/>
      <c r="F47" s="42"/>
      <c r="G47" s="41">
        <f t="shared" si="0"/>
        <v>0</v>
      </c>
      <c r="H47" s="40"/>
      <c r="I47" s="40"/>
      <c r="J47" s="40">
        <f t="shared" si="1"/>
        <v>0</v>
      </c>
      <c r="K47" s="39">
        <f t="shared" si="2"/>
        <v>0</v>
      </c>
      <c r="L47" s="39">
        <f t="shared" si="3"/>
        <v>0</v>
      </c>
      <c r="M47" s="39">
        <f t="shared" si="4"/>
        <v>0</v>
      </c>
      <c r="N47" s="39">
        <f t="shared" si="5"/>
        <v>0</v>
      </c>
      <c r="O47" s="39">
        <f t="shared" si="6"/>
        <v>0</v>
      </c>
      <c r="P47" s="39">
        <f t="shared" si="7"/>
        <v>0</v>
      </c>
      <c r="Q47" s="39">
        <f t="shared" si="8"/>
        <v>0</v>
      </c>
      <c r="R47" s="39">
        <f t="shared" si="9"/>
        <v>0</v>
      </c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44"/>
      <c r="C48" s="43"/>
      <c r="D48" s="43"/>
      <c r="E48" s="42"/>
      <c r="F48" s="42"/>
      <c r="G48" s="41">
        <f t="shared" si="0"/>
        <v>0</v>
      </c>
      <c r="H48" s="40"/>
      <c r="I48" s="40"/>
      <c r="J48" s="40">
        <f t="shared" si="1"/>
        <v>0</v>
      </c>
      <c r="K48" s="39">
        <f t="shared" si="2"/>
        <v>0</v>
      </c>
      <c r="L48" s="39">
        <f t="shared" si="3"/>
        <v>0</v>
      </c>
      <c r="M48" s="39">
        <f t="shared" si="4"/>
        <v>0</v>
      </c>
      <c r="N48" s="39">
        <f t="shared" si="5"/>
        <v>0</v>
      </c>
      <c r="O48" s="39">
        <f t="shared" si="6"/>
        <v>0</v>
      </c>
      <c r="P48" s="39">
        <f t="shared" si="7"/>
        <v>0</v>
      </c>
      <c r="Q48" s="39">
        <f t="shared" si="8"/>
        <v>0</v>
      </c>
      <c r="R48" s="39">
        <f t="shared" si="9"/>
        <v>0</v>
      </c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44"/>
      <c r="C49" s="43"/>
      <c r="D49" s="43"/>
      <c r="E49" s="42"/>
      <c r="F49" s="42"/>
      <c r="G49" s="41">
        <f t="shared" si="0"/>
        <v>0</v>
      </c>
      <c r="H49" s="40"/>
      <c r="I49" s="40"/>
      <c r="J49" s="40">
        <f t="shared" si="1"/>
        <v>0</v>
      </c>
      <c r="K49" s="39">
        <f t="shared" si="2"/>
        <v>0</v>
      </c>
      <c r="L49" s="39">
        <f t="shared" si="3"/>
        <v>0</v>
      </c>
      <c r="M49" s="39">
        <f t="shared" si="4"/>
        <v>0</v>
      </c>
      <c r="N49" s="39">
        <f t="shared" si="5"/>
        <v>0</v>
      </c>
      <c r="O49" s="39">
        <f t="shared" si="6"/>
        <v>0</v>
      </c>
      <c r="P49" s="39">
        <f t="shared" si="7"/>
        <v>0</v>
      </c>
      <c r="Q49" s="39">
        <f t="shared" si="8"/>
        <v>0</v>
      </c>
      <c r="R49" s="39">
        <f t="shared" si="9"/>
        <v>0</v>
      </c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44"/>
      <c r="C50" s="43"/>
      <c r="D50" s="43"/>
      <c r="E50" s="42"/>
      <c r="F50" s="42"/>
      <c r="G50" s="41">
        <f t="shared" si="0"/>
        <v>0</v>
      </c>
      <c r="H50" s="40"/>
      <c r="I50" s="40"/>
      <c r="J50" s="40">
        <f t="shared" si="1"/>
        <v>0</v>
      </c>
      <c r="K50" s="39">
        <f t="shared" si="2"/>
        <v>0</v>
      </c>
      <c r="L50" s="39">
        <f t="shared" si="3"/>
        <v>0</v>
      </c>
      <c r="M50" s="39">
        <f t="shared" si="4"/>
        <v>0</v>
      </c>
      <c r="N50" s="39">
        <f t="shared" si="5"/>
        <v>0</v>
      </c>
      <c r="O50" s="39">
        <f t="shared" si="6"/>
        <v>0</v>
      </c>
      <c r="P50" s="39">
        <f t="shared" si="7"/>
        <v>0</v>
      </c>
      <c r="Q50" s="39">
        <f t="shared" si="8"/>
        <v>0</v>
      </c>
      <c r="R50" s="39">
        <f t="shared" si="9"/>
        <v>0</v>
      </c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6">
    <mergeCell ref="B1:G2"/>
    <mergeCell ref="I1:P1"/>
    <mergeCell ref="C5:D5"/>
    <mergeCell ref="E5:F5"/>
    <mergeCell ref="H5:J5"/>
    <mergeCell ref="K5:R5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I1" sqref="I1:P1"/>
    </sheetView>
  </sheetViews>
  <sheetFormatPr baseColWidth="10" defaultColWidth="12.5703125" defaultRowHeight="15.75" customHeight="1" x14ac:dyDescent="0.2"/>
  <cols>
    <col min="1" max="3" width="10" style="37" customWidth="1"/>
    <col min="4" max="4" width="4" style="37" customWidth="1"/>
    <col min="5" max="8" width="10" style="37" customWidth="1"/>
    <col min="9" max="9" width="11.140625" style="37" customWidth="1"/>
    <col min="10" max="10" width="9" style="37" customWidth="1"/>
    <col min="11" max="11" width="11.42578125" style="37" customWidth="1"/>
    <col min="12" max="12" width="10" style="37" customWidth="1"/>
    <col min="13" max="13" width="14.42578125" style="37" customWidth="1"/>
    <col min="14" max="14" width="3.42578125" style="37" customWidth="1"/>
    <col min="15" max="26" width="10" style="37" customWidth="1"/>
    <col min="27" max="16384" width="12.5703125" style="37"/>
  </cols>
  <sheetData>
    <row r="1" spans="1:26" ht="15" customHeight="1" thickBot="1" x14ac:dyDescent="0.3">
      <c r="A1" s="56"/>
      <c r="B1" s="74" t="s">
        <v>106</v>
      </c>
      <c r="C1" s="75"/>
      <c r="D1" s="75"/>
      <c r="E1" s="75"/>
      <c r="F1" s="75"/>
      <c r="G1" s="75"/>
      <c r="H1" s="56"/>
      <c r="I1" s="91" t="s">
        <v>105</v>
      </c>
      <c r="J1" s="87"/>
      <c r="K1" s="87"/>
      <c r="L1" s="87"/>
      <c r="M1" s="87"/>
      <c r="N1" s="87"/>
      <c r="O1" s="87"/>
      <c r="P1" s="88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5" customHeight="1" thickBot="1" x14ac:dyDescent="0.3">
      <c r="A2" s="56"/>
      <c r="B2" s="75"/>
      <c r="C2" s="75"/>
      <c r="D2" s="75"/>
      <c r="E2" s="75"/>
      <c r="F2" s="75"/>
      <c r="G2" s="75"/>
      <c r="H2" s="56"/>
      <c r="I2" s="92" t="s">
        <v>125</v>
      </c>
      <c r="J2" s="87"/>
      <c r="K2" s="87"/>
      <c r="L2" s="87"/>
      <c r="M2" s="87"/>
      <c r="N2" s="87"/>
      <c r="O2" s="87"/>
      <c r="P2" s="88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5" customHeight="1" x14ac:dyDescent="0.25">
      <c r="A3" s="56"/>
      <c r="B3" s="56"/>
      <c r="C3" s="56"/>
      <c r="D3" s="56"/>
      <c r="E3" s="93"/>
      <c r="F3" s="75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5" customHeight="1" x14ac:dyDescent="0.25">
      <c r="A4" s="56"/>
      <c r="B4" s="56"/>
      <c r="C4" s="56"/>
      <c r="D4" s="56"/>
      <c r="E4" s="64"/>
      <c r="F4" s="94" t="s">
        <v>124</v>
      </c>
      <c r="G4" s="75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5" customHeight="1" thickBot="1" x14ac:dyDescent="0.3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5" customHeight="1" thickBot="1" x14ac:dyDescent="0.3">
      <c r="A6" s="56"/>
      <c r="B6" s="96" t="s">
        <v>123</v>
      </c>
      <c r="C6" s="97"/>
      <c r="D6" s="56"/>
      <c r="E6" s="63" t="s">
        <v>122</v>
      </c>
      <c r="F6" s="64"/>
      <c r="G6" s="63" t="s">
        <v>121</v>
      </c>
      <c r="H6" s="56"/>
      <c r="I6" s="56"/>
      <c r="J6" s="56"/>
      <c r="K6" s="86" t="s">
        <v>90</v>
      </c>
      <c r="L6" s="87"/>
      <c r="M6" s="88"/>
      <c r="N6" s="56"/>
      <c r="O6" s="107" t="s">
        <v>120</v>
      </c>
      <c r="P6" s="87"/>
      <c r="Q6" s="88"/>
      <c r="R6" s="56"/>
      <c r="S6" s="56"/>
      <c r="T6" s="56"/>
      <c r="U6" s="56"/>
      <c r="V6" s="56"/>
      <c r="W6" s="56"/>
      <c r="X6" s="56"/>
      <c r="Y6" s="56"/>
      <c r="Z6" s="56"/>
    </row>
    <row r="7" spans="1:26" ht="15" customHeight="1" thickBot="1" x14ac:dyDescent="0.3">
      <c r="A7" s="56"/>
      <c r="B7" s="98"/>
      <c r="C7" s="99"/>
      <c r="D7" s="56"/>
      <c r="E7" s="102">
        <v>3</v>
      </c>
      <c r="F7" s="57"/>
      <c r="G7" s="102">
        <v>3</v>
      </c>
      <c r="H7" s="62"/>
      <c r="I7" s="56"/>
      <c r="J7" s="56"/>
      <c r="K7" s="83">
        <f>IFERROR((19.243*LN(I9)-5.029)*I15,0)</f>
        <v>1003.0594786676261</v>
      </c>
      <c r="L7" s="84"/>
      <c r="M7" s="85"/>
      <c r="N7" s="56"/>
      <c r="O7" s="83">
        <f>IFERROR((7.0421*LN(I9)-15.255)*I15,0)</f>
        <v>206.10082760096083</v>
      </c>
      <c r="P7" s="84"/>
      <c r="Q7" s="85"/>
      <c r="R7" s="56"/>
      <c r="S7" s="56"/>
      <c r="T7" s="56"/>
      <c r="U7" s="56"/>
      <c r="V7" s="56"/>
      <c r="W7" s="56"/>
      <c r="X7" s="56"/>
      <c r="Y7" s="56"/>
      <c r="Z7" s="56"/>
    </row>
    <row r="8" spans="1:26" ht="15" customHeight="1" thickBot="1" x14ac:dyDescent="0.3">
      <c r="A8" s="56"/>
      <c r="B8" s="100"/>
      <c r="C8" s="101"/>
      <c r="D8" s="56"/>
      <c r="E8" s="103"/>
      <c r="F8" s="57"/>
      <c r="G8" s="103"/>
      <c r="H8" s="56"/>
      <c r="I8" s="61" t="s">
        <v>94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5" customHeight="1" thickBot="1" x14ac:dyDescent="0.3">
      <c r="A9" s="56"/>
      <c r="B9" s="56"/>
      <c r="C9" s="56"/>
      <c r="D9" s="56"/>
      <c r="E9" s="57"/>
      <c r="F9" s="57"/>
      <c r="G9" s="57"/>
      <c r="H9" s="56"/>
      <c r="I9" s="104">
        <f>IFERROR((E11*G11)/(E7+G7),0)</f>
        <v>100</v>
      </c>
      <c r="J9" s="56"/>
      <c r="K9" s="86" t="s">
        <v>119</v>
      </c>
      <c r="L9" s="87"/>
      <c r="M9" s="88"/>
      <c r="N9" s="56"/>
      <c r="O9" s="86" t="s">
        <v>118</v>
      </c>
      <c r="P9" s="87"/>
      <c r="Q9" s="88"/>
      <c r="R9" s="56"/>
      <c r="S9" s="56"/>
      <c r="T9" s="56"/>
      <c r="U9" s="56"/>
      <c r="V9" s="56"/>
      <c r="W9" s="56"/>
      <c r="X9" s="56"/>
      <c r="Y9" s="56"/>
      <c r="Z9" s="56"/>
    </row>
    <row r="10" spans="1:26" ht="15" customHeight="1" thickBot="1" x14ac:dyDescent="0.3">
      <c r="A10" s="56"/>
      <c r="B10" s="105" t="s">
        <v>117</v>
      </c>
      <c r="C10" s="97"/>
      <c r="D10" s="56"/>
      <c r="E10" s="60" t="s">
        <v>116</v>
      </c>
      <c r="F10" s="59"/>
      <c r="G10" s="60" t="s">
        <v>115</v>
      </c>
      <c r="H10" s="56"/>
      <c r="I10" s="90"/>
      <c r="J10" s="56"/>
      <c r="K10" s="83">
        <f>(0.018*I9-0.844)*I15</f>
        <v>11.471999999999998</v>
      </c>
      <c r="L10" s="84"/>
      <c r="M10" s="85"/>
      <c r="N10" s="56"/>
      <c r="O10" s="83">
        <f>(0.001*I9-0.046)*I15</f>
        <v>0.64800000000000013</v>
      </c>
      <c r="P10" s="84"/>
      <c r="Q10" s="85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5" customHeight="1" thickBot="1" x14ac:dyDescent="0.3">
      <c r="A11" s="56"/>
      <c r="B11" s="98"/>
      <c r="C11" s="99"/>
      <c r="D11" s="56"/>
      <c r="E11" s="102">
        <v>30</v>
      </c>
      <c r="F11" s="57"/>
      <c r="G11" s="102">
        <v>20</v>
      </c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5" customHeight="1" thickBot="1" x14ac:dyDescent="0.3">
      <c r="A12" s="56"/>
      <c r="B12" s="100"/>
      <c r="C12" s="101"/>
      <c r="D12" s="56"/>
      <c r="E12" s="103"/>
      <c r="F12" s="57"/>
      <c r="G12" s="103"/>
      <c r="H12" s="56"/>
      <c r="I12" s="56"/>
      <c r="J12" s="56"/>
      <c r="K12" s="86" t="s">
        <v>114</v>
      </c>
      <c r="L12" s="87"/>
      <c r="M12" s="88"/>
      <c r="N12" s="56"/>
      <c r="O12" s="86" t="s">
        <v>113</v>
      </c>
      <c r="P12" s="87"/>
      <c r="Q12" s="88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5" customHeight="1" thickBot="1" x14ac:dyDescent="0.3">
      <c r="A13" s="56"/>
      <c r="B13" s="56"/>
      <c r="C13" s="56"/>
      <c r="D13" s="56"/>
      <c r="E13" s="57"/>
      <c r="F13" s="57"/>
      <c r="G13" s="57"/>
      <c r="H13" s="56"/>
      <c r="I13" s="95" t="s">
        <v>112</v>
      </c>
      <c r="J13" s="56"/>
      <c r="K13" s="83">
        <f>IFERROR((1.321*LN(I9)-0.629)*I15,0)</f>
        <v>65.453157788283221</v>
      </c>
      <c r="L13" s="84"/>
      <c r="M13" s="85"/>
      <c r="N13" s="56"/>
      <c r="O13" s="83">
        <f>IFERROR((0.212*LN(I9)-0.23)*I15,0)</f>
        <v>8.9555529531537044</v>
      </c>
      <c r="P13" s="84"/>
      <c r="Q13" s="85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5" customHeight="1" thickBot="1" x14ac:dyDescent="0.3">
      <c r="A14" s="56"/>
      <c r="B14" s="106" t="s">
        <v>111</v>
      </c>
      <c r="C14" s="97"/>
      <c r="D14" s="56"/>
      <c r="E14" s="58" t="s">
        <v>93</v>
      </c>
      <c r="F14" s="59"/>
      <c r="G14" s="58" t="s">
        <v>92</v>
      </c>
      <c r="H14" s="56"/>
      <c r="I14" s="90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5" customHeight="1" thickBot="1" x14ac:dyDescent="0.3">
      <c r="A15" s="56"/>
      <c r="B15" s="98"/>
      <c r="C15" s="99"/>
      <c r="D15" s="56"/>
      <c r="E15" s="102">
        <v>4</v>
      </c>
      <c r="F15" s="57"/>
      <c r="G15" s="102">
        <v>3</v>
      </c>
      <c r="H15" s="56"/>
      <c r="I15" s="89">
        <f>E15*G15</f>
        <v>12</v>
      </c>
      <c r="J15" s="56"/>
      <c r="K15" s="86" t="s">
        <v>110</v>
      </c>
      <c r="L15" s="87"/>
      <c r="M15" s="88"/>
      <c r="N15" s="56"/>
      <c r="O15" s="86" t="s">
        <v>109</v>
      </c>
      <c r="P15" s="87"/>
      <c r="Q15" s="88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5" customHeight="1" thickBot="1" x14ac:dyDescent="0.3">
      <c r="A16" s="56"/>
      <c r="B16" s="100"/>
      <c r="C16" s="101"/>
      <c r="D16" s="56"/>
      <c r="E16" s="103"/>
      <c r="F16" s="57"/>
      <c r="G16" s="103"/>
      <c r="H16" s="56"/>
      <c r="I16" s="90"/>
      <c r="J16" s="56"/>
      <c r="K16" s="83">
        <f>IFERROR((1.157*LN(I9)-0.418)*I15,0)</f>
        <v>58.922182862258666</v>
      </c>
      <c r="L16" s="84"/>
      <c r="M16" s="85"/>
      <c r="N16" s="56"/>
      <c r="O16" s="83">
        <f>IFERROR((0.1041*LN(I9)-0.096)*I15,0)</f>
        <v>4.6007785963363244</v>
      </c>
      <c r="P16" s="84"/>
      <c r="Q16" s="85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5" customHeight="1" x14ac:dyDescent="0.2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5" customHeight="1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5" customHeight="1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5" customHeight="1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x14ac:dyDescent="0.25">
      <c r="A30" s="56"/>
      <c r="B30" s="56"/>
      <c r="C30" s="56" t="s">
        <v>108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x14ac:dyDescent="0.2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x14ac:dyDescent="0.25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x14ac:dyDescent="0.2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x14ac:dyDescent="0.2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x14ac:dyDescent="0.25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x14ac:dyDescent="0.2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x14ac:dyDescent="0.25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x14ac:dyDescent="0.25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x14ac:dyDescent="0.25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x14ac:dyDescent="0.2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x14ac:dyDescent="0.2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x14ac:dyDescent="0.2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x14ac:dyDescent="0.2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x14ac:dyDescent="0.2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x14ac:dyDescent="0.2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x14ac:dyDescent="0.25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x14ac:dyDescent="0.25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x14ac:dyDescent="0.25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x14ac:dyDescent="0.2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x14ac:dyDescent="0.2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x14ac:dyDescent="0.25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x14ac:dyDescent="0.2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x14ac:dyDescent="0.25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x14ac:dyDescent="0.2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x14ac:dyDescent="0.2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x14ac:dyDescent="0.2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x14ac:dyDescent="0.2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x14ac:dyDescent="0.2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x14ac:dyDescent="0.2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x14ac:dyDescent="0.2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x14ac:dyDescent="0.2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x14ac:dyDescent="0.2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x14ac:dyDescent="0.2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x14ac:dyDescent="0.2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x14ac:dyDescent="0.2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x14ac:dyDescent="0.2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x14ac:dyDescent="0.2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x14ac:dyDescent="0.2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x14ac:dyDescent="0.2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x14ac:dyDescent="0.2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x14ac:dyDescent="0.2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x14ac:dyDescent="0.2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x14ac:dyDescent="0.2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x14ac:dyDescent="0.2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x14ac:dyDescent="0.2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x14ac:dyDescent="0.2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x14ac:dyDescent="0.25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x14ac:dyDescent="0.25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x14ac:dyDescent="0.25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x14ac:dyDescent="0.25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x14ac:dyDescent="0.2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x14ac:dyDescent="0.25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x14ac:dyDescent="0.25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x14ac:dyDescent="0.25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x14ac:dyDescent="0.25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x14ac:dyDescent="0.25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x14ac:dyDescent="0.25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x14ac:dyDescent="0.25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x14ac:dyDescent="0.25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x14ac:dyDescent="0.25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x14ac:dyDescent="0.2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x14ac:dyDescent="0.25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x14ac:dyDescent="0.25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x14ac:dyDescent="0.25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x14ac:dyDescent="0.25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x14ac:dyDescent="0.25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x14ac:dyDescent="0.25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x14ac:dyDescent="0.25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x14ac:dyDescent="0.2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x14ac:dyDescent="0.2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x14ac:dyDescent="0.2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x14ac:dyDescent="0.25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x14ac:dyDescent="0.25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x14ac:dyDescent="0.25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x14ac:dyDescent="0.2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x14ac:dyDescent="0.25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x14ac:dyDescent="0.25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x14ac:dyDescent="0.25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x14ac:dyDescent="0.25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x14ac:dyDescent="0.2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x14ac:dyDescent="0.25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x14ac:dyDescent="0.25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x14ac:dyDescent="0.25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x14ac:dyDescent="0.25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x14ac:dyDescent="0.25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x14ac:dyDescent="0.25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x14ac:dyDescent="0.25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x14ac:dyDescent="0.25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x14ac:dyDescent="0.25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x14ac:dyDescent="0.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x14ac:dyDescent="0.25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x14ac:dyDescent="0.25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x14ac:dyDescent="0.25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x14ac:dyDescent="0.25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x14ac:dyDescent="0.25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x14ac:dyDescent="0.25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x14ac:dyDescent="0.25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x14ac:dyDescent="0.25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x14ac:dyDescent="0.2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x14ac:dyDescent="0.2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x14ac:dyDescent="0.2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x14ac:dyDescent="0.25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x14ac:dyDescent="0.25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x14ac:dyDescent="0.25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x14ac:dyDescent="0.25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x14ac:dyDescent="0.25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x14ac:dyDescent="0.25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x14ac:dyDescent="0.25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x14ac:dyDescent="0.25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x14ac:dyDescent="0.2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x14ac:dyDescent="0.25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x14ac:dyDescent="0.25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x14ac:dyDescent="0.25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x14ac:dyDescent="0.25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x14ac:dyDescent="0.25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x14ac:dyDescent="0.25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x14ac:dyDescent="0.25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x14ac:dyDescent="0.25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x14ac:dyDescent="0.25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x14ac:dyDescent="0.2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x14ac:dyDescent="0.25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x14ac:dyDescent="0.25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x14ac:dyDescent="0.25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x14ac:dyDescent="0.25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x14ac:dyDescent="0.25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x14ac:dyDescent="0.25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x14ac:dyDescent="0.25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x14ac:dyDescent="0.25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x14ac:dyDescent="0.25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x14ac:dyDescent="0.2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x14ac:dyDescent="0.25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x14ac:dyDescent="0.25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x14ac:dyDescent="0.25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x14ac:dyDescent="0.25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x14ac:dyDescent="0.25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x14ac:dyDescent="0.25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x14ac:dyDescent="0.25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x14ac:dyDescent="0.25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x14ac:dyDescent="0.25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x14ac:dyDescent="0.2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x14ac:dyDescent="0.25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x14ac:dyDescent="0.25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x14ac:dyDescent="0.25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x14ac:dyDescent="0.25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x14ac:dyDescent="0.25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x14ac:dyDescent="0.25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x14ac:dyDescent="0.25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x14ac:dyDescent="0.25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x14ac:dyDescent="0.25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x14ac:dyDescent="0.2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x14ac:dyDescent="0.25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x14ac:dyDescent="0.25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x14ac:dyDescent="0.25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x14ac:dyDescent="0.25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x14ac:dyDescent="0.25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x14ac:dyDescent="0.25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x14ac:dyDescent="0.25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x14ac:dyDescent="0.25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x14ac:dyDescent="0.25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x14ac:dyDescent="0.2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x14ac:dyDescent="0.25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x14ac:dyDescent="0.25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x14ac:dyDescent="0.25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x14ac:dyDescent="0.25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x14ac:dyDescent="0.25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x14ac:dyDescent="0.25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x14ac:dyDescent="0.25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x14ac:dyDescent="0.25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x14ac:dyDescent="0.25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x14ac:dyDescent="0.2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x14ac:dyDescent="0.25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x14ac:dyDescent="0.25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x14ac:dyDescent="0.25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x14ac:dyDescent="0.25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x14ac:dyDescent="0.25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x14ac:dyDescent="0.25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x14ac:dyDescent="0.25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x14ac:dyDescent="0.25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x14ac:dyDescent="0.25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x14ac:dyDescent="0.2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x14ac:dyDescent="0.25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x14ac:dyDescent="0.25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x14ac:dyDescent="0.25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x14ac:dyDescent="0.25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x14ac:dyDescent="0.25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x14ac:dyDescent="0.25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x14ac:dyDescent="0.25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x14ac:dyDescent="0.25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x14ac:dyDescent="0.25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x14ac:dyDescent="0.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x14ac:dyDescent="0.25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x14ac:dyDescent="0.25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x14ac:dyDescent="0.25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x14ac:dyDescent="0.25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x14ac:dyDescent="0.25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x14ac:dyDescent="0.25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x14ac:dyDescent="0.25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x14ac:dyDescent="0.25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x14ac:dyDescent="0.25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x14ac:dyDescent="0.2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x14ac:dyDescent="0.25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x14ac:dyDescent="0.25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x14ac:dyDescent="0.25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x14ac:dyDescent="0.25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x14ac:dyDescent="0.25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x14ac:dyDescent="0.25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x14ac:dyDescent="0.25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x14ac:dyDescent="0.25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x14ac:dyDescent="0.25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x14ac:dyDescent="0.2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x14ac:dyDescent="0.25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x14ac:dyDescent="0.25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x14ac:dyDescent="0.25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x14ac:dyDescent="0.25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x14ac:dyDescent="0.25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x14ac:dyDescent="0.25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x14ac:dyDescent="0.25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x14ac:dyDescent="0.25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x14ac:dyDescent="0.25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x14ac:dyDescent="0.2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x14ac:dyDescent="0.25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x14ac:dyDescent="0.25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x14ac:dyDescent="0.25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x14ac:dyDescent="0.25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x14ac:dyDescent="0.25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x14ac:dyDescent="0.25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x14ac:dyDescent="0.25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x14ac:dyDescent="0.25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x14ac:dyDescent="0.25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x14ac:dyDescent="0.2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x14ac:dyDescent="0.25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x14ac:dyDescent="0.25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x14ac:dyDescent="0.25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x14ac:dyDescent="0.25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x14ac:dyDescent="0.25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x14ac:dyDescent="0.25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x14ac:dyDescent="0.25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x14ac:dyDescent="0.25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x14ac:dyDescent="0.25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x14ac:dyDescent="0.2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x14ac:dyDescent="0.25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x14ac:dyDescent="0.25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x14ac:dyDescent="0.25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x14ac:dyDescent="0.25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x14ac:dyDescent="0.25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x14ac:dyDescent="0.25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x14ac:dyDescent="0.25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x14ac:dyDescent="0.25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x14ac:dyDescent="0.25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x14ac:dyDescent="0.2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x14ac:dyDescent="0.25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x14ac:dyDescent="0.25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x14ac:dyDescent="0.25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x14ac:dyDescent="0.25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x14ac:dyDescent="0.25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x14ac:dyDescent="0.25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x14ac:dyDescent="0.25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x14ac:dyDescent="0.25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x14ac:dyDescent="0.25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x14ac:dyDescent="0.2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x14ac:dyDescent="0.25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x14ac:dyDescent="0.25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x14ac:dyDescent="0.25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x14ac:dyDescent="0.25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x14ac:dyDescent="0.25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x14ac:dyDescent="0.25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x14ac:dyDescent="0.25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x14ac:dyDescent="0.25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x14ac:dyDescent="0.25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x14ac:dyDescent="0.2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x14ac:dyDescent="0.25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x14ac:dyDescent="0.25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x14ac:dyDescent="0.25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x14ac:dyDescent="0.25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x14ac:dyDescent="0.25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x14ac:dyDescent="0.25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x14ac:dyDescent="0.25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x14ac:dyDescent="0.25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x14ac:dyDescent="0.25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x14ac:dyDescent="0.2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x14ac:dyDescent="0.25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x14ac:dyDescent="0.25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x14ac:dyDescent="0.25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x14ac:dyDescent="0.25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x14ac:dyDescent="0.25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x14ac:dyDescent="0.25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x14ac:dyDescent="0.25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x14ac:dyDescent="0.25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x14ac:dyDescent="0.25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x14ac:dyDescent="0.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x14ac:dyDescent="0.25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x14ac:dyDescent="0.25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x14ac:dyDescent="0.25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x14ac:dyDescent="0.25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x14ac:dyDescent="0.25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x14ac:dyDescent="0.25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x14ac:dyDescent="0.25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x14ac:dyDescent="0.25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x14ac:dyDescent="0.25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x14ac:dyDescent="0.2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x14ac:dyDescent="0.25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x14ac:dyDescent="0.25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x14ac:dyDescent="0.25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x14ac:dyDescent="0.25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x14ac:dyDescent="0.25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x14ac:dyDescent="0.25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x14ac:dyDescent="0.25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x14ac:dyDescent="0.25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x14ac:dyDescent="0.25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x14ac:dyDescent="0.2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x14ac:dyDescent="0.25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x14ac:dyDescent="0.25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x14ac:dyDescent="0.25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x14ac:dyDescent="0.25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x14ac:dyDescent="0.25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x14ac:dyDescent="0.25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x14ac:dyDescent="0.25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x14ac:dyDescent="0.25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x14ac:dyDescent="0.25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x14ac:dyDescent="0.2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x14ac:dyDescent="0.25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x14ac:dyDescent="0.25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x14ac:dyDescent="0.25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x14ac:dyDescent="0.25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x14ac:dyDescent="0.25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x14ac:dyDescent="0.25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x14ac:dyDescent="0.25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x14ac:dyDescent="0.25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x14ac:dyDescent="0.25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x14ac:dyDescent="0.2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x14ac:dyDescent="0.25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x14ac:dyDescent="0.25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x14ac:dyDescent="0.25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x14ac:dyDescent="0.25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x14ac:dyDescent="0.25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x14ac:dyDescent="0.25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x14ac:dyDescent="0.25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x14ac:dyDescent="0.25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x14ac:dyDescent="0.25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x14ac:dyDescent="0.2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x14ac:dyDescent="0.25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x14ac:dyDescent="0.25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x14ac:dyDescent="0.25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x14ac:dyDescent="0.25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x14ac:dyDescent="0.25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x14ac:dyDescent="0.25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x14ac:dyDescent="0.25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x14ac:dyDescent="0.25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x14ac:dyDescent="0.25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x14ac:dyDescent="0.2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x14ac:dyDescent="0.25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x14ac:dyDescent="0.25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x14ac:dyDescent="0.25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x14ac:dyDescent="0.25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x14ac:dyDescent="0.25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x14ac:dyDescent="0.25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x14ac:dyDescent="0.25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x14ac:dyDescent="0.25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x14ac:dyDescent="0.25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x14ac:dyDescent="0.2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x14ac:dyDescent="0.25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x14ac:dyDescent="0.25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x14ac:dyDescent="0.25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x14ac:dyDescent="0.25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x14ac:dyDescent="0.25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x14ac:dyDescent="0.25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x14ac:dyDescent="0.25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x14ac:dyDescent="0.25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x14ac:dyDescent="0.25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x14ac:dyDescent="0.2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x14ac:dyDescent="0.25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x14ac:dyDescent="0.25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x14ac:dyDescent="0.25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x14ac:dyDescent="0.25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x14ac:dyDescent="0.25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x14ac:dyDescent="0.25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x14ac:dyDescent="0.25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x14ac:dyDescent="0.25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x14ac:dyDescent="0.25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x14ac:dyDescent="0.2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x14ac:dyDescent="0.25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x14ac:dyDescent="0.25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x14ac:dyDescent="0.25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x14ac:dyDescent="0.25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x14ac:dyDescent="0.25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x14ac:dyDescent="0.25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x14ac:dyDescent="0.25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x14ac:dyDescent="0.25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x14ac:dyDescent="0.25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x14ac:dyDescent="0.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x14ac:dyDescent="0.25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x14ac:dyDescent="0.25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x14ac:dyDescent="0.25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x14ac:dyDescent="0.25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x14ac:dyDescent="0.25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x14ac:dyDescent="0.25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x14ac:dyDescent="0.25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x14ac:dyDescent="0.25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x14ac:dyDescent="0.25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x14ac:dyDescent="0.2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x14ac:dyDescent="0.25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x14ac:dyDescent="0.25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x14ac:dyDescent="0.25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x14ac:dyDescent="0.25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x14ac:dyDescent="0.25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x14ac:dyDescent="0.25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x14ac:dyDescent="0.25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x14ac:dyDescent="0.25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x14ac:dyDescent="0.25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x14ac:dyDescent="0.2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x14ac:dyDescent="0.25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x14ac:dyDescent="0.25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x14ac:dyDescent="0.25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x14ac:dyDescent="0.25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x14ac:dyDescent="0.25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x14ac:dyDescent="0.25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x14ac:dyDescent="0.25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x14ac:dyDescent="0.25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x14ac:dyDescent="0.25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x14ac:dyDescent="0.2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x14ac:dyDescent="0.25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x14ac:dyDescent="0.25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x14ac:dyDescent="0.25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x14ac:dyDescent="0.25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x14ac:dyDescent="0.25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x14ac:dyDescent="0.25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x14ac:dyDescent="0.25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x14ac:dyDescent="0.25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x14ac:dyDescent="0.25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x14ac:dyDescent="0.2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x14ac:dyDescent="0.25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x14ac:dyDescent="0.25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x14ac:dyDescent="0.25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x14ac:dyDescent="0.25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x14ac:dyDescent="0.25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x14ac:dyDescent="0.25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x14ac:dyDescent="0.25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x14ac:dyDescent="0.25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x14ac:dyDescent="0.25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x14ac:dyDescent="0.2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x14ac:dyDescent="0.25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x14ac:dyDescent="0.25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x14ac:dyDescent="0.25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x14ac:dyDescent="0.25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x14ac:dyDescent="0.25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x14ac:dyDescent="0.25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x14ac:dyDescent="0.25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x14ac:dyDescent="0.25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x14ac:dyDescent="0.25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x14ac:dyDescent="0.2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x14ac:dyDescent="0.25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x14ac:dyDescent="0.25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x14ac:dyDescent="0.25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x14ac:dyDescent="0.25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x14ac:dyDescent="0.25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x14ac:dyDescent="0.25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x14ac:dyDescent="0.25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x14ac:dyDescent="0.25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x14ac:dyDescent="0.25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x14ac:dyDescent="0.2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x14ac:dyDescent="0.25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x14ac:dyDescent="0.25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x14ac:dyDescent="0.25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x14ac:dyDescent="0.25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x14ac:dyDescent="0.25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x14ac:dyDescent="0.25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x14ac:dyDescent="0.25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x14ac:dyDescent="0.25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x14ac:dyDescent="0.25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x14ac:dyDescent="0.2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x14ac:dyDescent="0.25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x14ac:dyDescent="0.25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x14ac:dyDescent="0.25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x14ac:dyDescent="0.25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x14ac:dyDescent="0.25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x14ac:dyDescent="0.25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x14ac:dyDescent="0.25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x14ac:dyDescent="0.25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x14ac:dyDescent="0.25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x14ac:dyDescent="0.2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x14ac:dyDescent="0.25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x14ac:dyDescent="0.25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x14ac:dyDescent="0.25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x14ac:dyDescent="0.25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x14ac:dyDescent="0.25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x14ac:dyDescent="0.25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x14ac:dyDescent="0.25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x14ac:dyDescent="0.25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x14ac:dyDescent="0.25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x14ac:dyDescent="0.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x14ac:dyDescent="0.25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x14ac:dyDescent="0.25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x14ac:dyDescent="0.25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x14ac:dyDescent="0.25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x14ac:dyDescent="0.25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x14ac:dyDescent="0.25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x14ac:dyDescent="0.25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x14ac:dyDescent="0.25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x14ac:dyDescent="0.25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x14ac:dyDescent="0.2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x14ac:dyDescent="0.25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x14ac:dyDescent="0.25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x14ac:dyDescent="0.25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x14ac:dyDescent="0.25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x14ac:dyDescent="0.25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x14ac:dyDescent="0.25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x14ac:dyDescent="0.25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x14ac:dyDescent="0.25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x14ac:dyDescent="0.25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x14ac:dyDescent="0.2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x14ac:dyDescent="0.25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x14ac:dyDescent="0.25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x14ac:dyDescent="0.25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x14ac:dyDescent="0.25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x14ac:dyDescent="0.25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x14ac:dyDescent="0.25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x14ac:dyDescent="0.25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x14ac:dyDescent="0.25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x14ac:dyDescent="0.25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x14ac:dyDescent="0.2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x14ac:dyDescent="0.25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x14ac:dyDescent="0.25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x14ac:dyDescent="0.25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x14ac:dyDescent="0.25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x14ac:dyDescent="0.25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x14ac:dyDescent="0.25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x14ac:dyDescent="0.25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x14ac:dyDescent="0.25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x14ac:dyDescent="0.25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x14ac:dyDescent="0.2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x14ac:dyDescent="0.25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x14ac:dyDescent="0.25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x14ac:dyDescent="0.25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x14ac:dyDescent="0.25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x14ac:dyDescent="0.25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x14ac:dyDescent="0.25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x14ac:dyDescent="0.25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x14ac:dyDescent="0.25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x14ac:dyDescent="0.25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x14ac:dyDescent="0.2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x14ac:dyDescent="0.25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x14ac:dyDescent="0.25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x14ac:dyDescent="0.25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x14ac:dyDescent="0.25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x14ac:dyDescent="0.25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x14ac:dyDescent="0.25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x14ac:dyDescent="0.25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x14ac:dyDescent="0.25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x14ac:dyDescent="0.25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x14ac:dyDescent="0.2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x14ac:dyDescent="0.25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x14ac:dyDescent="0.25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x14ac:dyDescent="0.25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x14ac:dyDescent="0.25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x14ac:dyDescent="0.25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x14ac:dyDescent="0.25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x14ac:dyDescent="0.25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x14ac:dyDescent="0.25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x14ac:dyDescent="0.25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x14ac:dyDescent="0.2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x14ac:dyDescent="0.25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x14ac:dyDescent="0.25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x14ac:dyDescent="0.25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x14ac:dyDescent="0.25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x14ac:dyDescent="0.25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x14ac:dyDescent="0.25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x14ac:dyDescent="0.25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x14ac:dyDescent="0.25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x14ac:dyDescent="0.25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x14ac:dyDescent="0.2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x14ac:dyDescent="0.25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x14ac:dyDescent="0.25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x14ac:dyDescent="0.25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x14ac:dyDescent="0.25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x14ac:dyDescent="0.25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x14ac:dyDescent="0.25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x14ac:dyDescent="0.25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x14ac:dyDescent="0.25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x14ac:dyDescent="0.25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x14ac:dyDescent="0.2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x14ac:dyDescent="0.25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x14ac:dyDescent="0.25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x14ac:dyDescent="0.25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x14ac:dyDescent="0.25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x14ac:dyDescent="0.25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x14ac:dyDescent="0.25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x14ac:dyDescent="0.25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x14ac:dyDescent="0.25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x14ac:dyDescent="0.25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x14ac:dyDescent="0.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x14ac:dyDescent="0.25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x14ac:dyDescent="0.25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x14ac:dyDescent="0.25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x14ac:dyDescent="0.25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x14ac:dyDescent="0.25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x14ac:dyDescent="0.25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x14ac:dyDescent="0.25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x14ac:dyDescent="0.25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x14ac:dyDescent="0.25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x14ac:dyDescent="0.2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x14ac:dyDescent="0.25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x14ac:dyDescent="0.25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x14ac:dyDescent="0.25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x14ac:dyDescent="0.25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x14ac:dyDescent="0.25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x14ac:dyDescent="0.25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x14ac:dyDescent="0.25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x14ac:dyDescent="0.25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x14ac:dyDescent="0.25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x14ac:dyDescent="0.2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x14ac:dyDescent="0.25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x14ac:dyDescent="0.25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x14ac:dyDescent="0.25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x14ac:dyDescent="0.25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x14ac:dyDescent="0.25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x14ac:dyDescent="0.25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x14ac:dyDescent="0.25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x14ac:dyDescent="0.25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x14ac:dyDescent="0.25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x14ac:dyDescent="0.2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x14ac:dyDescent="0.25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x14ac:dyDescent="0.25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x14ac:dyDescent="0.25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x14ac:dyDescent="0.25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x14ac:dyDescent="0.25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x14ac:dyDescent="0.25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x14ac:dyDescent="0.25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x14ac:dyDescent="0.25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x14ac:dyDescent="0.25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x14ac:dyDescent="0.2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x14ac:dyDescent="0.25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x14ac:dyDescent="0.25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x14ac:dyDescent="0.25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x14ac:dyDescent="0.25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x14ac:dyDescent="0.25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x14ac:dyDescent="0.25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x14ac:dyDescent="0.25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x14ac:dyDescent="0.25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x14ac:dyDescent="0.25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x14ac:dyDescent="0.2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x14ac:dyDescent="0.25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x14ac:dyDescent="0.25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x14ac:dyDescent="0.25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x14ac:dyDescent="0.25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x14ac:dyDescent="0.25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x14ac:dyDescent="0.25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x14ac:dyDescent="0.25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x14ac:dyDescent="0.25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x14ac:dyDescent="0.25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x14ac:dyDescent="0.2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x14ac:dyDescent="0.25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x14ac:dyDescent="0.25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x14ac:dyDescent="0.25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x14ac:dyDescent="0.25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x14ac:dyDescent="0.25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x14ac:dyDescent="0.25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x14ac:dyDescent="0.25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x14ac:dyDescent="0.25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x14ac:dyDescent="0.25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x14ac:dyDescent="0.2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x14ac:dyDescent="0.25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x14ac:dyDescent="0.25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x14ac:dyDescent="0.25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x14ac:dyDescent="0.25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x14ac:dyDescent="0.25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x14ac:dyDescent="0.25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x14ac:dyDescent="0.25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x14ac:dyDescent="0.25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x14ac:dyDescent="0.25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x14ac:dyDescent="0.2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x14ac:dyDescent="0.25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x14ac:dyDescent="0.25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x14ac:dyDescent="0.25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x14ac:dyDescent="0.25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x14ac:dyDescent="0.25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x14ac:dyDescent="0.25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x14ac:dyDescent="0.25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x14ac:dyDescent="0.25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x14ac:dyDescent="0.25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x14ac:dyDescent="0.2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x14ac:dyDescent="0.25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x14ac:dyDescent="0.25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x14ac:dyDescent="0.25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x14ac:dyDescent="0.25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x14ac:dyDescent="0.25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x14ac:dyDescent="0.25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x14ac:dyDescent="0.25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x14ac:dyDescent="0.25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x14ac:dyDescent="0.25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x14ac:dyDescent="0.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x14ac:dyDescent="0.25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x14ac:dyDescent="0.25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x14ac:dyDescent="0.25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x14ac:dyDescent="0.25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x14ac:dyDescent="0.25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x14ac:dyDescent="0.25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x14ac:dyDescent="0.25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x14ac:dyDescent="0.25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x14ac:dyDescent="0.25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x14ac:dyDescent="0.2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x14ac:dyDescent="0.25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x14ac:dyDescent="0.25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x14ac:dyDescent="0.25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x14ac:dyDescent="0.25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x14ac:dyDescent="0.25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x14ac:dyDescent="0.25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x14ac:dyDescent="0.25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x14ac:dyDescent="0.25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x14ac:dyDescent="0.25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x14ac:dyDescent="0.2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x14ac:dyDescent="0.25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x14ac:dyDescent="0.25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x14ac:dyDescent="0.25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x14ac:dyDescent="0.25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x14ac:dyDescent="0.25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x14ac:dyDescent="0.25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x14ac:dyDescent="0.25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x14ac:dyDescent="0.25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x14ac:dyDescent="0.25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x14ac:dyDescent="0.2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x14ac:dyDescent="0.25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x14ac:dyDescent="0.25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x14ac:dyDescent="0.25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x14ac:dyDescent="0.25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x14ac:dyDescent="0.25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x14ac:dyDescent="0.25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x14ac:dyDescent="0.25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x14ac:dyDescent="0.25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x14ac:dyDescent="0.25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x14ac:dyDescent="0.2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x14ac:dyDescent="0.25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x14ac:dyDescent="0.25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x14ac:dyDescent="0.25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x14ac:dyDescent="0.25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x14ac:dyDescent="0.25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x14ac:dyDescent="0.25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x14ac:dyDescent="0.25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x14ac:dyDescent="0.25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x14ac:dyDescent="0.25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x14ac:dyDescent="0.2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x14ac:dyDescent="0.25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x14ac:dyDescent="0.25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x14ac:dyDescent="0.25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x14ac:dyDescent="0.25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x14ac:dyDescent="0.25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x14ac:dyDescent="0.25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x14ac:dyDescent="0.25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x14ac:dyDescent="0.25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x14ac:dyDescent="0.25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x14ac:dyDescent="0.2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x14ac:dyDescent="0.25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x14ac:dyDescent="0.25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x14ac:dyDescent="0.25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x14ac:dyDescent="0.25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x14ac:dyDescent="0.25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x14ac:dyDescent="0.25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x14ac:dyDescent="0.25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x14ac:dyDescent="0.25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x14ac:dyDescent="0.25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x14ac:dyDescent="0.2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x14ac:dyDescent="0.25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x14ac:dyDescent="0.25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x14ac:dyDescent="0.25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x14ac:dyDescent="0.25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x14ac:dyDescent="0.25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x14ac:dyDescent="0.25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x14ac:dyDescent="0.25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x14ac:dyDescent="0.25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x14ac:dyDescent="0.25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x14ac:dyDescent="0.2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x14ac:dyDescent="0.25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x14ac:dyDescent="0.25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x14ac:dyDescent="0.25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x14ac:dyDescent="0.25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x14ac:dyDescent="0.25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x14ac:dyDescent="0.25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x14ac:dyDescent="0.25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x14ac:dyDescent="0.25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x14ac:dyDescent="0.25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x14ac:dyDescent="0.2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x14ac:dyDescent="0.25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x14ac:dyDescent="0.25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x14ac:dyDescent="0.25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x14ac:dyDescent="0.25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x14ac:dyDescent="0.25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x14ac:dyDescent="0.25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x14ac:dyDescent="0.25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x14ac:dyDescent="0.25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x14ac:dyDescent="0.25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x14ac:dyDescent="0.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x14ac:dyDescent="0.25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x14ac:dyDescent="0.25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x14ac:dyDescent="0.25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x14ac:dyDescent="0.25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x14ac:dyDescent="0.25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x14ac:dyDescent="0.25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x14ac:dyDescent="0.25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x14ac:dyDescent="0.25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x14ac:dyDescent="0.25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x14ac:dyDescent="0.2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x14ac:dyDescent="0.25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x14ac:dyDescent="0.25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x14ac:dyDescent="0.25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x14ac:dyDescent="0.25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x14ac:dyDescent="0.25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x14ac:dyDescent="0.25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x14ac:dyDescent="0.25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x14ac:dyDescent="0.25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x14ac:dyDescent="0.25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x14ac:dyDescent="0.2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x14ac:dyDescent="0.25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x14ac:dyDescent="0.25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x14ac:dyDescent="0.25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x14ac:dyDescent="0.25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x14ac:dyDescent="0.25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x14ac:dyDescent="0.25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x14ac:dyDescent="0.25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x14ac:dyDescent="0.25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x14ac:dyDescent="0.25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x14ac:dyDescent="0.2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x14ac:dyDescent="0.25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x14ac:dyDescent="0.25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x14ac:dyDescent="0.25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x14ac:dyDescent="0.25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x14ac:dyDescent="0.25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x14ac:dyDescent="0.25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x14ac:dyDescent="0.25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x14ac:dyDescent="0.25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x14ac:dyDescent="0.25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x14ac:dyDescent="0.2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x14ac:dyDescent="0.25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x14ac:dyDescent="0.25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x14ac:dyDescent="0.25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x14ac:dyDescent="0.25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x14ac:dyDescent="0.25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x14ac:dyDescent="0.25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x14ac:dyDescent="0.25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x14ac:dyDescent="0.25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x14ac:dyDescent="0.25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x14ac:dyDescent="0.2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x14ac:dyDescent="0.25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x14ac:dyDescent="0.25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x14ac:dyDescent="0.25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x14ac:dyDescent="0.25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x14ac:dyDescent="0.25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x14ac:dyDescent="0.25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x14ac:dyDescent="0.25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x14ac:dyDescent="0.25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x14ac:dyDescent="0.25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x14ac:dyDescent="0.2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x14ac:dyDescent="0.25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x14ac:dyDescent="0.25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x14ac:dyDescent="0.25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x14ac:dyDescent="0.25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x14ac:dyDescent="0.25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x14ac:dyDescent="0.25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x14ac:dyDescent="0.25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x14ac:dyDescent="0.25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x14ac:dyDescent="0.25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x14ac:dyDescent="0.2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x14ac:dyDescent="0.25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x14ac:dyDescent="0.25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x14ac:dyDescent="0.25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spans="1:26" x14ac:dyDescent="0.25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spans="1:26" x14ac:dyDescent="0.25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spans="1:26" x14ac:dyDescent="0.25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spans="1:26" x14ac:dyDescent="0.25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spans="1:26" x14ac:dyDescent="0.25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spans="1:26" x14ac:dyDescent="0.25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spans="1:26" x14ac:dyDescent="0.2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spans="1:26" x14ac:dyDescent="0.25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spans="1:26" x14ac:dyDescent="0.25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spans="1:26" x14ac:dyDescent="0.25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spans="1:26" x14ac:dyDescent="0.25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spans="1:26" x14ac:dyDescent="0.25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spans="1:26" x14ac:dyDescent="0.25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spans="1:26" x14ac:dyDescent="0.25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spans="1:26" x14ac:dyDescent="0.25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spans="1:26" x14ac:dyDescent="0.25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spans="1:26" x14ac:dyDescent="0.2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spans="1:26" x14ac:dyDescent="0.25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spans="1:26" x14ac:dyDescent="0.25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spans="1:26" x14ac:dyDescent="0.25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spans="1:26" x14ac:dyDescent="0.25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spans="1:26" x14ac:dyDescent="0.25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spans="1:26" x14ac:dyDescent="0.25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spans="1:26" x14ac:dyDescent="0.25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spans="1:26" x14ac:dyDescent="0.25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spans="1:26" x14ac:dyDescent="0.25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spans="1:26" x14ac:dyDescent="0.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spans="1:26" x14ac:dyDescent="0.25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spans="1:26" x14ac:dyDescent="0.25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spans="1:26" x14ac:dyDescent="0.25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spans="1:26" x14ac:dyDescent="0.25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spans="1:26" x14ac:dyDescent="0.25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spans="1:26" x14ac:dyDescent="0.25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spans="1:26" x14ac:dyDescent="0.25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spans="1:26" x14ac:dyDescent="0.25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spans="1:26" x14ac:dyDescent="0.25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spans="1:26" x14ac:dyDescent="0.2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spans="1:26" x14ac:dyDescent="0.25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spans="1:26" x14ac:dyDescent="0.25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spans="1:26" x14ac:dyDescent="0.25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spans="1:26" x14ac:dyDescent="0.25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spans="1:26" x14ac:dyDescent="0.25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spans="1:26" x14ac:dyDescent="0.25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spans="1:26" x14ac:dyDescent="0.25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spans="1:26" x14ac:dyDescent="0.25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spans="1:26" x14ac:dyDescent="0.25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spans="1:26" x14ac:dyDescent="0.2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spans="1:26" x14ac:dyDescent="0.25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spans="1:26" x14ac:dyDescent="0.25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spans="1:26" x14ac:dyDescent="0.25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spans="1:26" x14ac:dyDescent="0.25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spans="1:26" x14ac:dyDescent="0.25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spans="1:26" x14ac:dyDescent="0.25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spans="1:26" x14ac:dyDescent="0.25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spans="1:26" x14ac:dyDescent="0.25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spans="1:26" x14ac:dyDescent="0.25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spans="1:26" x14ac:dyDescent="0.2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spans="1:26" x14ac:dyDescent="0.25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spans="1:26" x14ac:dyDescent="0.25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spans="1:26" x14ac:dyDescent="0.25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spans="1:26" x14ac:dyDescent="0.25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spans="1:26" x14ac:dyDescent="0.25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spans="1:26" x14ac:dyDescent="0.25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spans="1:26" x14ac:dyDescent="0.25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spans="1:26" x14ac:dyDescent="0.25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spans="1:26" x14ac:dyDescent="0.25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spans="1:26" x14ac:dyDescent="0.2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spans="1:26" x14ac:dyDescent="0.25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spans="1:26" x14ac:dyDescent="0.25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spans="1:26" x14ac:dyDescent="0.25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spans="1:26" x14ac:dyDescent="0.25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spans="1:26" x14ac:dyDescent="0.25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spans="1:26" x14ac:dyDescent="0.25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spans="1:26" x14ac:dyDescent="0.25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spans="1:26" x14ac:dyDescent="0.25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spans="1:26" x14ac:dyDescent="0.25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spans="1:26" x14ac:dyDescent="0.2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spans="1:26" x14ac:dyDescent="0.25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spans="1:26" x14ac:dyDescent="0.25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spans="1:26" x14ac:dyDescent="0.25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spans="1:26" x14ac:dyDescent="0.25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spans="1:26" x14ac:dyDescent="0.25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spans="1:26" x14ac:dyDescent="0.25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spans="1:26" x14ac:dyDescent="0.25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spans="1:26" x14ac:dyDescent="0.25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spans="1:26" x14ac:dyDescent="0.25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spans="1:26" x14ac:dyDescent="0.2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spans="1:26" x14ac:dyDescent="0.25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spans="1:26" x14ac:dyDescent="0.25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spans="1:26" x14ac:dyDescent="0.25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spans="1:26" x14ac:dyDescent="0.25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spans="1:26" x14ac:dyDescent="0.25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spans="1:26" x14ac:dyDescent="0.25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spans="1:26" x14ac:dyDescent="0.25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spans="1:26" x14ac:dyDescent="0.25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spans="1:26" x14ac:dyDescent="0.25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spans="1:26" x14ac:dyDescent="0.2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spans="1:26" x14ac:dyDescent="0.25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spans="1:26" x14ac:dyDescent="0.25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spans="1:26" x14ac:dyDescent="0.25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spans="1:26" x14ac:dyDescent="0.25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spans="1:26" x14ac:dyDescent="0.25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33">
    <mergeCell ref="B14:C16"/>
    <mergeCell ref="E15:E16"/>
    <mergeCell ref="G15:G16"/>
    <mergeCell ref="O6:Q6"/>
    <mergeCell ref="B6:C8"/>
    <mergeCell ref="E7:E8"/>
    <mergeCell ref="G7:G8"/>
    <mergeCell ref="I9:I10"/>
    <mergeCell ref="K9:M9"/>
    <mergeCell ref="B10:C12"/>
    <mergeCell ref="K10:M10"/>
    <mergeCell ref="K7:M7"/>
    <mergeCell ref="E11:E12"/>
    <mergeCell ref="G11:G12"/>
    <mergeCell ref="B1:G2"/>
    <mergeCell ref="I1:P1"/>
    <mergeCell ref="I2:P2"/>
    <mergeCell ref="E3:F3"/>
    <mergeCell ref="F4:G4"/>
    <mergeCell ref="O7:Q7"/>
    <mergeCell ref="O9:Q9"/>
    <mergeCell ref="O10:Q10"/>
    <mergeCell ref="O12:Q12"/>
    <mergeCell ref="K6:M6"/>
    <mergeCell ref="O13:Q13"/>
    <mergeCell ref="O15:Q15"/>
    <mergeCell ref="I15:I16"/>
    <mergeCell ref="K12:M12"/>
    <mergeCell ref="K13:M13"/>
    <mergeCell ref="K15:M15"/>
    <mergeCell ref="K16:M16"/>
    <mergeCell ref="O16:Q16"/>
    <mergeCell ref="I13:I14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Septiembre - 2025</vt:lpstr>
      <vt:lpstr>Registro ejercicios</vt:lpstr>
      <vt:lpstr>Calculadora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</dc:creator>
  <cp:lastModifiedBy>Mariano Galeano</cp:lastModifiedBy>
  <cp:lastPrinted>2018-12-05T04:23:26Z</cp:lastPrinted>
  <dcterms:created xsi:type="dcterms:W3CDTF">2018-09-04T04:16:14Z</dcterms:created>
  <dcterms:modified xsi:type="dcterms:W3CDTF">2025-08-13T07:07:45Z</dcterms:modified>
</cp:coreProperties>
</file>